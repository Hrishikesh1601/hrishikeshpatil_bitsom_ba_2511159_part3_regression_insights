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hi\Desktop\"/>
    </mc:Choice>
  </mc:AlternateContent>
  <xr:revisionPtr revIDLastSave="0" documentId="13_ncr:1_{81B12296-D72F-44F4-918C-7A7A662103C9}" xr6:coauthVersionLast="47" xr6:coauthVersionMax="47" xr10:uidLastSave="{00000000-0000-0000-0000-000000000000}"/>
  <bookViews>
    <workbookView xWindow="-120" yWindow="-120" windowWidth="20730" windowHeight="11160" firstSheet="5" activeTab="8" xr2:uid="{E77D3153-C260-4DF1-9D2D-6091733115E7}"/>
  </bookViews>
  <sheets>
    <sheet name="Original Data" sheetId="1" r:id="rId1"/>
    <sheet name="Cleaned Data" sheetId="2" r:id="rId2"/>
    <sheet name="Dummy Variales" sheetId="3" r:id="rId3"/>
    <sheet name="Regression" sheetId="4" r:id="rId4"/>
    <sheet name="Simple Regression 1" sheetId="9" r:id="rId5"/>
    <sheet name="SImple Regression 2" sheetId="8" r:id="rId6"/>
    <sheet name="Multiple Regression" sheetId="17" r:id="rId7"/>
    <sheet name="Regression Data" sheetId="14" r:id="rId8"/>
    <sheet name="Prediction&amp; Residual" sheetId="13" r:id="rId9"/>
  </sheets>
  <definedNames>
    <definedName name="_xlnm._FilterDatabase" localSheetId="1" hidden="1">'Cleaned Data'!$A$1:$N$321</definedName>
    <definedName name="_xlnm._FilterDatabase" localSheetId="2" hidden="1">'Dummy Variales'!$A$1:$Q$1</definedName>
    <definedName name="_xlnm._FilterDatabase" localSheetId="3" hidden="1">Regression!$A$1:$T$1</definedName>
    <definedName name="_xlnm._FilterDatabase" localSheetId="7" hidden="1">'Regression Data'!$A$1:$L$1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P2" i="13" s="1"/>
  <c r="P306" i="13"/>
  <c r="P108" i="13"/>
  <c r="P21" i="13"/>
  <c r="P244" i="13"/>
  <c r="P28" i="13"/>
  <c r="P122" i="13"/>
  <c r="P253" i="13"/>
  <c r="P111" i="13"/>
  <c r="P110" i="13"/>
  <c r="P316" i="13"/>
  <c r="P216" i="13"/>
  <c r="P181" i="13"/>
  <c r="P234" i="13"/>
  <c r="P160" i="13"/>
  <c r="P23" i="13"/>
  <c r="P289" i="13"/>
  <c r="P78" i="13"/>
  <c r="P178" i="13"/>
  <c r="P294" i="13"/>
  <c r="P68" i="13"/>
  <c r="P304" i="13"/>
  <c r="P80" i="13"/>
  <c r="P47" i="13"/>
  <c r="P112" i="13"/>
  <c r="P314" i="13"/>
  <c r="P107" i="13"/>
  <c r="P246" i="13"/>
  <c r="P230" i="13"/>
  <c r="P40" i="13"/>
  <c r="P252" i="13"/>
  <c r="P219" i="13"/>
  <c r="P87" i="13"/>
  <c r="P27" i="13"/>
  <c r="P285" i="13"/>
  <c r="P52" i="13"/>
  <c r="P168" i="13"/>
  <c r="P62" i="13"/>
  <c r="P114" i="13"/>
  <c r="P148" i="13"/>
  <c r="P19" i="13"/>
  <c r="P297" i="13"/>
  <c r="P189" i="13"/>
  <c r="P226" i="13"/>
  <c r="P301" i="13"/>
  <c r="P77" i="13"/>
  <c r="P76" i="13"/>
  <c r="P94" i="13"/>
  <c r="P60" i="13"/>
  <c r="P211" i="13"/>
  <c r="P302" i="13"/>
  <c r="P103" i="13"/>
  <c r="P195" i="13"/>
  <c r="P18" i="13"/>
  <c r="P90" i="13"/>
  <c r="P318" i="13"/>
  <c r="P212" i="13"/>
  <c r="P37" i="13"/>
  <c r="P89" i="13"/>
  <c r="P201" i="13"/>
  <c r="P165" i="13"/>
  <c r="P182" i="13"/>
  <c r="P307" i="13"/>
  <c r="P99" i="13"/>
  <c r="P305" i="13"/>
  <c r="P97" i="13"/>
  <c r="P245" i="13"/>
  <c r="P140" i="13"/>
  <c r="P290" i="13"/>
  <c r="P190" i="13"/>
  <c r="P141" i="13"/>
  <c r="P17" i="13"/>
  <c r="P154" i="13"/>
  <c r="P295" i="13"/>
  <c r="P231" i="13"/>
  <c r="P20" i="13"/>
  <c r="P81" i="13"/>
  <c r="P170" i="13"/>
  <c r="P193" i="13"/>
  <c r="P61" i="13"/>
  <c r="P262" i="13"/>
  <c r="P129" i="13"/>
  <c r="P311" i="13"/>
  <c r="P173" i="13"/>
  <c r="P151" i="13"/>
  <c r="P67" i="13"/>
  <c r="P194" i="13"/>
  <c r="P100" i="13"/>
  <c r="P92" i="13"/>
  <c r="P298" i="13"/>
  <c r="P150" i="13"/>
  <c r="P175" i="13"/>
  <c r="P147" i="13"/>
  <c r="P131" i="13"/>
  <c r="P132" i="13"/>
  <c r="P223" i="13"/>
  <c r="P96" i="13"/>
  <c r="P206" i="13"/>
  <c r="P258" i="13"/>
  <c r="P251" i="13"/>
  <c r="P102" i="13"/>
  <c r="P59" i="13"/>
  <c r="P53" i="13"/>
  <c r="P98" i="13"/>
  <c r="P172" i="13"/>
  <c r="P13" i="13"/>
  <c r="P214" i="13"/>
  <c r="P83" i="13"/>
  <c r="P144" i="13"/>
  <c r="P163" i="13"/>
  <c r="P3" i="13"/>
  <c r="P120" i="13"/>
  <c r="P11" i="13"/>
  <c r="P243" i="13"/>
  <c r="P139" i="13"/>
  <c r="P176" i="13"/>
  <c r="P310" i="13"/>
  <c r="P267" i="13"/>
  <c r="P167" i="13"/>
  <c r="P221" i="13"/>
  <c r="P315" i="13"/>
  <c r="P313" i="13"/>
  <c r="P121" i="13"/>
  <c r="P229" i="13"/>
  <c r="P74" i="13"/>
  <c r="P236" i="13"/>
  <c r="P152" i="13"/>
  <c r="P199" i="13"/>
  <c r="P256" i="13"/>
  <c r="P200" i="13"/>
  <c r="P275" i="13"/>
  <c r="P186" i="13"/>
  <c r="P125" i="13"/>
  <c r="P279" i="13"/>
  <c r="P143" i="13"/>
  <c r="P272" i="13"/>
  <c r="P217" i="13"/>
  <c r="P137" i="13"/>
  <c r="P184" i="13"/>
  <c r="P263" i="13"/>
  <c r="P71" i="13"/>
  <c r="P73" i="13"/>
  <c r="P241" i="13"/>
  <c r="P158" i="13"/>
  <c r="P249" i="13"/>
  <c r="P235" i="13"/>
  <c r="P259" i="13"/>
  <c r="P123" i="13"/>
  <c r="P161" i="13"/>
  <c r="P56" i="13"/>
  <c r="P248" i="13"/>
  <c r="P238" i="13"/>
  <c r="P84" i="13"/>
  <c r="P36" i="13"/>
  <c r="P224" i="13"/>
  <c r="P166" i="13"/>
  <c r="P319" i="13"/>
  <c r="P207" i="13"/>
  <c r="P255" i="13"/>
  <c r="P104" i="13"/>
  <c r="P51" i="13"/>
  <c r="P12" i="13"/>
  <c r="P288" i="13"/>
  <c r="P30" i="13"/>
  <c r="P66" i="13"/>
  <c r="P57" i="13"/>
  <c r="P85" i="13"/>
  <c r="P260" i="13"/>
  <c r="P196" i="13"/>
  <c r="P202" i="13"/>
  <c r="P58" i="13"/>
  <c r="P54" i="13"/>
  <c r="P197" i="13"/>
  <c r="P48" i="13"/>
  <c r="P228" i="13"/>
  <c r="P146" i="13"/>
  <c r="P149" i="13"/>
  <c r="P300" i="13"/>
  <c r="P198" i="13"/>
  <c r="P227" i="13"/>
  <c r="P183" i="13"/>
  <c r="P79" i="13"/>
  <c r="P24" i="13"/>
  <c r="P25" i="13"/>
  <c r="P155" i="13"/>
  <c r="P82" i="13"/>
  <c r="P317" i="13"/>
  <c r="P133" i="13"/>
  <c r="P49" i="13"/>
  <c r="P274" i="13"/>
  <c r="P88" i="13"/>
  <c r="P136" i="13"/>
  <c r="P296" i="13"/>
  <c r="P43" i="13"/>
  <c r="P287" i="13"/>
  <c r="P208" i="13"/>
  <c r="P187" i="13"/>
  <c r="P46" i="13"/>
  <c r="P303" i="13"/>
  <c r="P63" i="13"/>
  <c r="P210" i="13"/>
  <c r="P50" i="13"/>
  <c r="P115" i="13"/>
  <c r="P145" i="13"/>
  <c r="P127" i="13"/>
  <c r="P119" i="13"/>
  <c r="P271" i="13"/>
  <c r="P69" i="13"/>
  <c r="P162" i="13"/>
  <c r="P203" i="13"/>
  <c r="P237" i="13"/>
  <c r="P157" i="13"/>
  <c r="P101" i="13"/>
  <c r="P240" i="13"/>
  <c r="P164" i="13"/>
  <c r="P106" i="13"/>
  <c r="P276" i="13"/>
  <c r="P91" i="13"/>
  <c r="P15" i="13"/>
  <c r="P188" i="13"/>
  <c r="P254" i="13"/>
  <c r="P29" i="13"/>
  <c r="P171" i="13"/>
  <c r="P261" i="13"/>
  <c r="P35" i="13"/>
  <c r="P33" i="13"/>
  <c r="P233" i="13"/>
  <c r="P177" i="13"/>
  <c r="P270" i="13"/>
  <c r="P113" i="13"/>
  <c r="P86" i="13"/>
  <c r="P220" i="13"/>
  <c r="P277" i="13"/>
  <c r="P204" i="13"/>
  <c r="P7" i="13"/>
  <c r="P138" i="13"/>
  <c r="P26" i="13"/>
  <c r="P293" i="13"/>
  <c r="P257" i="13"/>
  <c r="P242" i="13"/>
  <c r="P45" i="13"/>
  <c r="P250" i="13"/>
  <c r="P9" i="13"/>
  <c r="P38" i="13"/>
  <c r="P65" i="13"/>
  <c r="P42" i="13"/>
  <c r="P292" i="13"/>
  <c r="P312" i="13"/>
  <c r="P118" i="13"/>
  <c r="P268" i="13"/>
  <c r="P16" i="13"/>
  <c r="P124" i="13"/>
  <c r="P215" i="13"/>
  <c r="P239" i="13"/>
  <c r="P169" i="13"/>
  <c r="P70" i="13"/>
  <c r="P32" i="13"/>
  <c r="P192" i="13"/>
  <c r="P109" i="13"/>
  <c r="P142" i="13"/>
  <c r="P156" i="13"/>
  <c r="P117" i="13"/>
  <c r="P31" i="13"/>
  <c r="P93" i="13"/>
  <c r="P75" i="13"/>
  <c r="P299" i="13"/>
  <c r="P72" i="13"/>
  <c r="P191" i="13"/>
  <c r="P34" i="13"/>
  <c r="P309" i="13"/>
  <c r="P116" i="13"/>
  <c r="P265" i="13"/>
  <c r="P284" i="13"/>
  <c r="P159" i="13"/>
  <c r="P39" i="13"/>
  <c r="P41" i="13"/>
  <c r="P126" i="13"/>
  <c r="P135" i="13"/>
  <c r="P222" i="13"/>
  <c r="P10" i="13"/>
  <c r="P205" i="13"/>
  <c r="P320" i="13"/>
  <c r="P266" i="13"/>
  <c r="P95" i="13"/>
  <c r="P232" i="13"/>
  <c r="P280" i="13"/>
  <c r="P128" i="13"/>
  <c r="P44" i="13"/>
  <c r="P105" i="13"/>
  <c r="P4" i="13"/>
  <c r="P247" i="13"/>
  <c r="P209" i="13"/>
  <c r="P321" i="13"/>
  <c r="P282" i="13"/>
  <c r="P281" i="13"/>
  <c r="P225" i="13"/>
  <c r="P64" i="13"/>
  <c r="P278" i="13"/>
  <c r="P22" i="13"/>
  <c r="P269" i="13"/>
  <c r="P14" i="13"/>
  <c r="P291" i="13"/>
  <c r="P174" i="13"/>
  <c r="P283" i="13"/>
  <c r="P273" i="13"/>
  <c r="P218" i="13"/>
  <c r="P286" i="13"/>
  <c r="P179" i="13"/>
  <c r="P153" i="13"/>
  <c r="P5" i="13"/>
  <c r="P130" i="13"/>
  <c r="P185" i="13"/>
  <c r="P134" i="13"/>
  <c r="P180" i="13"/>
  <c r="P308" i="13"/>
  <c r="P55" i="13"/>
  <c r="P264" i="13"/>
  <c r="P6" i="13"/>
  <c r="P8" i="13"/>
  <c r="P213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T321" i="4"/>
  <c r="S321" i="4"/>
  <c r="R321" i="4"/>
  <c r="Q321" i="4"/>
  <c r="P321" i="4"/>
  <c r="O321" i="4"/>
  <c r="T320" i="4"/>
  <c r="S320" i="4"/>
  <c r="R320" i="4"/>
  <c r="Q320" i="4"/>
  <c r="P320" i="4"/>
  <c r="O320" i="4"/>
  <c r="T319" i="4"/>
  <c r="S319" i="4"/>
  <c r="R319" i="4"/>
  <c r="Q319" i="4"/>
  <c r="P319" i="4"/>
  <c r="O319" i="4"/>
  <c r="T318" i="4"/>
  <c r="S318" i="4"/>
  <c r="R318" i="4"/>
  <c r="Q318" i="4"/>
  <c r="P318" i="4"/>
  <c r="O318" i="4"/>
  <c r="T317" i="4"/>
  <c r="S317" i="4"/>
  <c r="R317" i="4"/>
  <c r="Q317" i="4"/>
  <c r="P317" i="4"/>
  <c r="O317" i="4"/>
  <c r="T316" i="4"/>
  <c r="S316" i="4"/>
  <c r="R316" i="4"/>
  <c r="Q316" i="4"/>
  <c r="P316" i="4"/>
  <c r="O316" i="4"/>
  <c r="T315" i="4"/>
  <c r="S315" i="4"/>
  <c r="R315" i="4"/>
  <c r="Q315" i="4"/>
  <c r="P315" i="4"/>
  <c r="O315" i="4"/>
  <c r="T314" i="4"/>
  <c r="S314" i="4"/>
  <c r="R314" i="4"/>
  <c r="Q314" i="4"/>
  <c r="P314" i="4"/>
  <c r="O314" i="4"/>
  <c r="T313" i="4"/>
  <c r="S313" i="4"/>
  <c r="R313" i="4"/>
  <c r="Q313" i="4"/>
  <c r="P313" i="4"/>
  <c r="O313" i="4"/>
  <c r="T312" i="4"/>
  <c r="S312" i="4"/>
  <c r="R312" i="4"/>
  <c r="Q312" i="4"/>
  <c r="P312" i="4"/>
  <c r="O312" i="4"/>
  <c r="T311" i="4"/>
  <c r="S311" i="4"/>
  <c r="R311" i="4"/>
  <c r="Q311" i="4"/>
  <c r="P311" i="4"/>
  <c r="O311" i="4"/>
  <c r="T310" i="4"/>
  <c r="S310" i="4"/>
  <c r="R310" i="4"/>
  <c r="Q310" i="4"/>
  <c r="P310" i="4"/>
  <c r="O310" i="4"/>
  <c r="T309" i="4"/>
  <c r="S309" i="4"/>
  <c r="R309" i="4"/>
  <c r="Q309" i="4"/>
  <c r="P309" i="4"/>
  <c r="O309" i="4"/>
  <c r="T308" i="4"/>
  <c r="S308" i="4"/>
  <c r="R308" i="4"/>
  <c r="Q308" i="4"/>
  <c r="P308" i="4"/>
  <c r="O308" i="4"/>
  <c r="T307" i="4"/>
  <c r="S307" i="4"/>
  <c r="R307" i="4"/>
  <c r="Q307" i="4"/>
  <c r="P307" i="4"/>
  <c r="O307" i="4"/>
  <c r="T306" i="4"/>
  <c r="S306" i="4"/>
  <c r="R306" i="4"/>
  <c r="Q306" i="4"/>
  <c r="P306" i="4"/>
  <c r="O306" i="4"/>
  <c r="T305" i="4"/>
  <c r="S305" i="4"/>
  <c r="R305" i="4"/>
  <c r="Q305" i="4"/>
  <c r="P305" i="4"/>
  <c r="O305" i="4"/>
  <c r="T304" i="4"/>
  <c r="S304" i="4"/>
  <c r="R304" i="4"/>
  <c r="Q304" i="4"/>
  <c r="P304" i="4"/>
  <c r="O304" i="4"/>
  <c r="T303" i="4"/>
  <c r="S303" i="4"/>
  <c r="R303" i="4"/>
  <c r="Q303" i="4"/>
  <c r="P303" i="4"/>
  <c r="O303" i="4"/>
  <c r="T302" i="4"/>
  <c r="S302" i="4"/>
  <c r="R302" i="4"/>
  <c r="Q302" i="4"/>
  <c r="P302" i="4"/>
  <c r="O302" i="4"/>
  <c r="T301" i="4"/>
  <c r="S301" i="4"/>
  <c r="R301" i="4"/>
  <c r="Q301" i="4"/>
  <c r="P301" i="4"/>
  <c r="O301" i="4"/>
  <c r="T300" i="4"/>
  <c r="S300" i="4"/>
  <c r="R300" i="4"/>
  <c r="Q300" i="4"/>
  <c r="P300" i="4"/>
  <c r="O300" i="4"/>
  <c r="T299" i="4"/>
  <c r="S299" i="4"/>
  <c r="R299" i="4"/>
  <c r="Q299" i="4"/>
  <c r="P299" i="4"/>
  <c r="O299" i="4"/>
  <c r="T298" i="4"/>
  <c r="S298" i="4"/>
  <c r="R298" i="4"/>
  <c r="Q298" i="4"/>
  <c r="P298" i="4"/>
  <c r="O298" i="4"/>
  <c r="T297" i="4"/>
  <c r="S297" i="4"/>
  <c r="R297" i="4"/>
  <c r="Q297" i="4"/>
  <c r="P297" i="4"/>
  <c r="O297" i="4"/>
  <c r="T296" i="4"/>
  <c r="S296" i="4"/>
  <c r="R296" i="4"/>
  <c r="Q296" i="4"/>
  <c r="P296" i="4"/>
  <c r="O296" i="4"/>
  <c r="T295" i="4"/>
  <c r="S295" i="4"/>
  <c r="R295" i="4"/>
  <c r="Q295" i="4"/>
  <c r="P295" i="4"/>
  <c r="O295" i="4"/>
  <c r="T294" i="4"/>
  <c r="S294" i="4"/>
  <c r="R294" i="4"/>
  <c r="Q294" i="4"/>
  <c r="P294" i="4"/>
  <c r="O294" i="4"/>
  <c r="T293" i="4"/>
  <c r="S293" i="4"/>
  <c r="R293" i="4"/>
  <c r="Q293" i="4"/>
  <c r="P293" i="4"/>
  <c r="O293" i="4"/>
  <c r="T292" i="4"/>
  <c r="S292" i="4"/>
  <c r="R292" i="4"/>
  <c r="Q292" i="4"/>
  <c r="P292" i="4"/>
  <c r="O292" i="4"/>
  <c r="T291" i="4"/>
  <c r="S291" i="4"/>
  <c r="R291" i="4"/>
  <c r="Q291" i="4"/>
  <c r="P291" i="4"/>
  <c r="O291" i="4"/>
  <c r="T290" i="4"/>
  <c r="S290" i="4"/>
  <c r="R290" i="4"/>
  <c r="Q290" i="4"/>
  <c r="P290" i="4"/>
  <c r="O290" i="4"/>
  <c r="T289" i="4"/>
  <c r="S289" i="4"/>
  <c r="R289" i="4"/>
  <c r="Q289" i="4"/>
  <c r="P289" i="4"/>
  <c r="O289" i="4"/>
  <c r="T288" i="4"/>
  <c r="S288" i="4"/>
  <c r="R288" i="4"/>
  <c r="Q288" i="4"/>
  <c r="P288" i="4"/>
  <c r="O288" i="4"/>
  <c r="T287" i="4"/>
  <c r="S287" i="4"/>
  <c r="R287" i="4"/>
  <c r="Q287" i="4"/>
  <c r="P287" i="4"/>
  <c r="O287" i="4"/>
  <c r="T286" i="4"/>
  <c r="S286" i="4"/>
  <c r="R286" i="4"/>
  <c r="Q286" i="4"/>
  <c r="P286" i="4"/>
  <c r="O286" i="4"/>
  <c r="T285" i="4"/>
  <c r="S285" i="4"/>
  <c r="R285" i="4"/>
  <c r="Q285" i="4"/>
  <c r="P285" i="4"/>
  <c r="O285" i="4"/>
  <c r="T284" i="4"/>
  <c r="S284" i="4"/>
  <c r="R284" i="4"/>
  <c r="Q284" i="4"/>
  <c r="P284" i="4"/>
  <c r="O284" i="4"/>
  <c r="T283" i="4"/>
  <c r="S283" i="4"/>
  <c r="R283" i="4"/>
  <c r="Q283" i="4"/>
  <c r="P283" i="4"/>
  <c r="O283" i="4"/>
  <c r="T282" i="4"/>
  <c r="S282" i="4"/>
  <c r="R282" i="4"/>
  <c r="Q282" i="4"/>
  <c r="P282" i="4"/>
  <c r="O282" i="4"/>
  <c r="T281" i="4"/>
  <c r="S281" i="4"/>
  <c r="R281" i="4"/>
  <c r="Q281" i="4"/>
  <c r="P281" i="4"/>
  <c r="O281" i="4"/>
  <c r="T280" i="4"/>
  <c r="S280" i="4"/>
  <c r="R280" i="4"/>
  <c r="Q280" i="4"/>
  <c r="P280" i="4"/>
  <c r="O280" i="4"/>
  <c r="T279" i="4"/>
  <c r="S279" i="4"/>
  <c r="R279" i="4"/>
  <c r="Q279" i="4"/>
  <c r="P279" i="4"/>
  <c r="O279" i="4"/>
  <c r="T278" i="4"/>
  <c r="S278" i="4"/>
  <c r="R278" i="4"/>
  <c r="Q278" i="4"/>
  <c r="P278" i="4"/>
  <c r="O278" i="4"/>
  <c r="T277" i="4"/>
  <c r="S277" i="4"/>
  <c r="R277" i="4"/>
  <c r="Q277" i="4"/>
  <c r="P277" i="4"/>
  <c r="O277" i="4"/>
  <c r="T276" i="4"/>
  <c r="S276" i="4"/>
  <c r="R276" i="4"/>
  <c r="Q276" i="4"/>
  <c r="P276" i="4"/>
  <c r="O276" i="4"/>
  <c r="T275" i="4"/>
  <c r="S275" i="4"/>
  <c r="R275" i="4"/>
  <c r="Q275" i="4"/>
  <c r="P275" i="4"/>
  <c r="O275" i="4"/>
  <c r="T274" i="4"/>
  <c r="S274" i="4"/>
  <c r="R274" i="4"/>
  <c r="Q274" i="4"/>
  <c r="P274" i="4"/>
  <c r="O274" i="4"/>
  <c r="T273" i="4"/>
  <c r="S273" i="4"/>
  <c r="R273" i="4"/>
  <c r="Q273" i="4"/>
  <c r="P273" i="4"/>
  <c r="O273" i="4"/>
  <c r="T272" i="4"/>
  <c r="S272" i="4"/>
  <c r="R272" i="4"/>
  <c r="Q272" i="4"/>
  <c r="P272" i="4"/>
  <c r="O272" i="4"/>
  <c r="T271" i="4"/>
  <c r="S271" i="4"/>
  <c r="R271" i="4"/>
  <c r="Q271" i="4"/>
  <c r="P271" i="4"/>
  <c r="O271" i="4"/>
  <c r="T270" i="4"/>
  <c r="S270" i="4"/>
  <c r="R270" i="4"/>
  <c r="Q270" i="4"/>
  <c r="P270" i="4"/>
  <c r="O270" i="4"/>
  <c r="T269" i="4"/>
  <c r="S269" i="4"/>
  <c r="R269" i="4"/>
  <c r="Q269" i="4"/>
  <c r="P269" i="4"/>
  <c r="O269" i="4"/>
  <c r="T268" i="4"/>
  <c r="S268" i="4"/>
  <c r="R268" i="4"/>
  <c r="Q268" i="4"/>
  <c r="P268" i="4"/>
  <c r="O268" i="4"/>
  <c r="T267" i="4"/>
  <c r="S267" i="4"/>
  <c r="R267" i="4"/>
  <c r="Q267" i="4"/>
  <c r="P267" i="4"/>
  <c r="O267" i="4"/>
  <c r="T266" i="4"/>
  <c r="S266" i="4"/>
  <c r="R266" i="4"/>
  <c r="Q266" i="4"/>
  <c r="P266" i="4"/>
  <c r="O266" i="4"/>
  <c r="T265" i="4"/>
  <c r="S265" i="4"/>
  <c r="R265" i="4"/>
  <c r="Q265" i="4"/>
  <c r="P265" i="4"/>
  <c r="O265" i="4"/>
  <c r="T264" i="4"/>
  <c r="S264" i="4"/>
  <c r="R264" i="4"/>
  <c r="Q264" i="4"/>
  <c r="P264" i="4"/>
  <c r="O264" i="4"/>
  <c r="T263" i="4"/>
  <c r="S263" i="4"/>
  <c r="R263" i="4"/>
  <c r="Q263" i="4"/>
  <c r="P263" i="4"/>
  <c r="O263" i="4"/>
  <c r="T262" i="4"/>
  <c r="S262" i="4"/>
  <c r="R262" i="4"/>
  <c r="Q262" i="4"/>
  <c r="P262" i="4"/>
  <c r="O262" i="4"/>
  <c r="T261" i="4"/>
  <c r="S261" i="4"/>
  <c r="R261" i="4"/>
  <c r="Q261" i="4"/>
  <c r="P261" i="4"/>
  <c r="O261" i="4"/>
  <c r="T260" i="4"/>
  <c r="S260" i="4"/>
  <c r="R260" i="4"/>
  <c r="Q260" i="4"/>
  <c r="P260" i="4"/>
  <c r="O260" i="4"/>
  <c r="T259" i="4"/>
  <c r="S259" i="4"/>
  <c r="R259" i="4"/>
  <c r="Q259" i="4"/>
  <c r="P259" i="4"/>
  <c r="O259" i="4"/>
  <c r="T258" i="4"/>
  <c r="S258" i="4"/>
  <c r="R258" i="4"/>
  <c r="Q258" i="4"/>
  <c r="P258" i="4"/>
  <c r="O258" i="4"/>
  <c r="T257" i="4"/>
  <c r="S257" i="4"/>
  <c r="R257" i="4"/>
  <c r="Q257" i="4"/>
  <c r="P257" i="4"/>
  <c r="O257" i="4"/>
  <c r="T256" i="4"/>
  <c r="S256" i="4"/>
  <c r="R256" i="4"/>
  <c r="Q256" i="4"/>
  <c r="P256" i="4"/>
  <c r="O256" i="4"/>
  <c r="T255" i="4"/>
  <c r="S255" i="4"/>
  <c r="R255" i="4"/>
  <c r="Q255" i="4"/>
  <c r="P255" i="4"/>
  <c r="O255" i="4"/>
  <c r="T254" i="4"/>
  <c r="S254" i="4"/>
  <c r="R254" i="4"/>
  <c r="Q254" i="4"/>
  <c r="P254" i="4"/>
  <c r="O254" i="4"/>
  <c r="T253" i="4"/>
  <c r="S253" i="4"/>
  <c r="R253" i="4"/>
  <c r="Q253" i="4"/>
  <c r="P253" i="4"/>
  <c r="O253" i="4"/>
  <c r="T252" i="4"/>
  <c r="S252" i="4"/>
  <c r="R252" i="4"/>
  <c r="Q252" i="4"/>
  <c r="P252" i="4"/>
  <c r="O252" i="4"/>
  <c r="T251" i="4"/>
  <c r="S251" i="4"/>
  <c r="R251" i="4"/>
  <c r="Q251" i="4"/>
  <c r="P251" i="4"/>
  <c r="O251" i="4"/>
  <c r="T250" i="4"/>
  <c r="S250" i="4"/>
  <c r="R250" i="4"/>
  <c r="Q250" i="4"/>
  <c r="P250" i="4"/>
  <c r="O250" i="4"/>
  <c r="T249" i="4"/>
  <c r="S249" i="4"/>
  <c r="R249" i="4"/>
  <c r="Q249" i="4"/>
  <c r="P249" i="4"/>
  <c r="O249" i="4"/>
  <c r="T248" i="4"/>
  <c r="S248" i="4"/>
  <c r="R248" i="4"/>
  <c r="Q248" i="4"/>
  <c r="P248" i="4"/>
  <c r="O248" i="4"/>
  <c r="T247" i="4"/>
  <c r="S247" i="4"/>
  <c r="R247" i="4"/>
  <c r="Q247" i="4"/>
  <c r="P247" i="4"/>
  <c r="O247" i="4"/>
  <c r="T246" i="4"/>
  <c r="S246" i="4"/>
  <c r="R246" i="4"/>
  <c r="Q246" i="4"/>
  <c r="P246" i="4"/>
  <c r="O246" i="4"/>
  <c r="T245" i="4"/>
  <c r="S245" i="4"/>
  <c r="R245" i="4"/>
  <c r="Q245" i="4"/>
  <c r="P245" i="4"/>
  <c r="O245" i="4"/>
  <c r="T244" i="4"/>
  <c r="S244" i="4"/>
  <c r="R244" i="4"/>
  <c r="Q244" i="4"/>
  <c r="P244" i="4"/>
  <c r="O244" i="4"/>
  <c r="T243" i="4"/>
  <c r="S243" i="4"/>
  <c r="R243" i="4"/>
  <c r="Q243" i="4"/>
  <c r="P243" i="4"/>
  <c r="O243" i="4"/>
  <c r="T242" i="4"/>
  <c r="S242" i="4"/>
  <c r="R242" i="4"/>
  <c r="Q242" i="4"/>
  <c r="P242" i="4"/>
  <c r="O242" i="4"/>
  <c r="T241" i="4"/>
  <c r="S241" i="4"/>
  <c r="R241" i="4"/>
  <c r="Q241" i="4"/>
  <c r="P241" i="4"/>
  <c r="O241" i="4"/>
  <c r="T240" i="4"/>
  <c r="S240" i="4"/>
  <c r="R240" i="4"/>
  <c r="Q240" i="4"/>
  <c r="P240" i="4"/>
  <c r="O240" i="4"/>
  <c r="T239" i="4"/>
  <c r="S239" i="4"/>
  <c r="R239" i="4"/>
  <c r="Q239" i="4"/>
  <c r="P239" i="4"/>
  <c r="O239" i="4"/>
  <c r="T238" i="4"/>
  <c r="S238" i="4"/>
  <c r="R238" i="4"/>
  <c r="Q238" i="4"/>
  <c r="P238" i="4"/>
  <c r="O238" i="4"/>
  <c r="T237" i="4"/>
  <c r="S237" i="4"/>
  <c r="R237" i="4"/>
  <c r="Q237" i="4"/>
  <c r="P237" i="4"/>
  <c r="O237" i="4"/>
  <c r="T236" i="4"/>
  <c r="S236" i="4"/>
  <c r="R236" i="4"/>
  <c r="Q236" i="4"/>
  <c r="P236" i="4"/>
  <c r="O236" i="4"/>
  <c r="T235" i="4"/>
  <c r="S235" i="4"/>
  <c r="R235" i="4"/>
  <c r="Q235" i="4"/>
  <c r="P235" i="4"/>
  <c r="O235" i="4"/>
  <c r="T234" i="4"/>
  <c r="S234" i="4"/>
  <c r="R234" i="4"/>
  <c r="Q234" i="4"/>
  <c r="P234" i="4"/>
  <c r="O234" i="4"/>
  <c r="T233" i="4"/>
  <c r="S233" i="4"/>
  <c r="R233" i="4"/>
  <c r="Q233" i="4"/>
  <c r="P233" i="4"/>
  <c r="O233" i="4"/>
  <c r="T232" i="4"/>
  <c r="S232" i="4"/>
  <c r="R232" i="4"/>
  <c r="Q232" i="4"/>
  <c r="P232" i="4"/>
  <c r="O232" i="4"/>
  <c r="T231" i="4"/>
  <c r="S231" i="4"/>
  <c r="R231" i="4"/>
  <c r="Q231" i="4"/>
  <c r="P231" i="4"/>
  <c r="O231" i="4"/>
  <c r="T230" i="4"/>
  <c r="S230" i="4"/>
  <c r="R230" i="4"/>
  <c r="Q230" i="4"/>
  <c r="P230" i="4"/>
  <c r="O230" i="4"/>
  <c r="T229" i="4"/>
  <c r="S229" i="4"/>
  <c r="R229" i="4"/>
  <c r="Q229" i="4"/>
  <c r="P229" i="4"/>
  <c r="O229" i="4"/>
  <c r="T228" i="4"/>
  <c r="S228" i="4"/>
  <c r="R228" i="4"/>
  <c r="Q228" i="4"/>
  <c r="P228" i="4"/>
  <c r="O228" i="4"/>
  <c r="T227" i="4"/>
  <c r="S227" i="4"/>
  <c r="R227" i="4"/>
  <c r="Q227" i="4"/>
  <c r="P227" i="4"/>
  <c r="O227" i="4"/>
  <c r="T226" i="4"/>
  <c r="S226" i="4"/>
  <c r="R226" i="4"/>
  <c r="Q226" i="4"/>
  <c r="P226" i="4"/>
  <c r="O226" i="4"/>
  <c r="T225" i="4"/>
  <c r="S225" i="4"/>
  <c r="R225" i="4"/>
  <c r="Q225" i="4"/>
  <c r="P225" i="4"/>
  <c r="O225" i="4"/>
  <c r="T224" i="4"/>
  <c r="S224" i="4"/>
  <c r="R224" i="4"/>
  <c r="Q224" i="4"/>
  <c r="P224" i="4"/>
  <c r="O224" i="4"/>
  <c r="T223" i="4"/>
  <c r="S223" i="4"/>
  <c r="R223" i="4"/>
  <c r="Q223" i="4"/>
  <c r="P223" i="4"/>
  <c r="O223" i="4"/>
  <c r="T222" i="4"/>
  <c r="S222" i="4"/>
  <c r="R222" i="4"/>
  <c r="Q222" i="4"/>
  <c r="P222" i="4"/>
  <c r="O222" i="4"/>
  <c r="T221" i="4"/>
  <c r="S221" i="4"/>
  <c r="R221" i="4"/>
  <c r="Q221" i="4"/>
  <c r="P221" i="4"/>
  <c r="O221" i="4"/>
  <c r="T220" i="4"/>
  <c r="S220" i="4"/>
  <c r="R220" i="4"/>
  <c r="Q220" i="4"/>
  <c r="P220" i="4"/>
  <c r="O220" i="4"/>
  <c r="T219" i="4"/>
  <c r="S219" i="4"/>
  <c r="R219" i="4"/>
  <c r="Q219" i="4"/>
  <c r="P219" i="4"/>
  <c r="O219" i="4"/>
  <c r="T218" i="4"/>
  <c r="S218" i="4"/>
  <c r="R218" i="4"/>
  <c r="Q218" i="4"/>
  <c r="P218" i="4"/>
  <c r="O218" i="4"/>
  <c r="T217" i="4"/>
  <c r="S217" i="4"/>
  <c r="R217" i="4"/>
  <c r="Q217" i="4"/>
  <c r="P217" i="4"/>
  <c r="O217" i="4"/>
  <c r="T216" i="4"/>
  <c r="S216" i="4"/>
  <c r="R216" i="4"/>
  <c r="Q216" i="4"/>
  <c r="P216" i="4"/>
  <c r="O216" i="4"/>
  <c r="T215" i="4"/>
  <c r="S215" i="4"/>
  <c r="R215" i="4"/>
  <c r="Q215" i="4"/>
  <c r="P215" i="4"/>
  <c r="O215" i="4"/>
  <c r="T214" i="4"/>
  <c r="S214" i="4"/>
  <c r="R214" i="4"/>
  <c r="Q214" i="4"/>
  <c r="P214" i="4"/>
  <c r="O214" i="4"/>
  <c r="T213" i="4"/>
  <c r="S213" i="4"/>
  <c r="R213" i="4"/>
  <c r="Q213" i="4"/>
  <c r="P213" i="4"/>
  <c r="O213" i="4"/>
  <c r="T212" i="4"/>
  <c r="S212" i="4"/>
  <c r="R212" i="4"/>
  <c r="Q212" i="4"/>
  <c r="P212" i="4"/>
  <c r="O212" i="4"/>
  <c r="T211" i="4"/>
  <c r="S211" i="4"/>
  <c r="R211" i="4"/>
  <c r="Q211" i="4"/>
  <c r="P211" i="4"/>
  <c r="O211" i="4"/>
  <c r="T210" i="4"/>
  <c r="S210" i="4"/>
  <c r="R210" i="4"/>
  <c r="Q210" i="4"/>
  <c r="P210" i="4"/>
  <c r="O210" i="4"/>
  <c r="T209" i="4"/>
  <c r="S209" i="4"/>
  <c r="R209" i="4"/>
  <c r="Q209" i="4"/>
  <c r="P209" i="4"/>
  <c r="O209" i="4"/>
  <c r="T208" i="4"/>
  <c r="S208" i="4"/>
  <c r="R208" i="4"/>
  <c r="Q208" i="4"/>
  <c r="P208" i="4"/>
  <c r="O208" i="4"/>
  <c r="T207" i="4"/>
  <c r="S207" i="4"/>
  <c r="R207" i="4"/>
  <c r="Q207" i="4"/>
  <c r="P207" i="4"/>
  <c r="O207" i="4"/>
  <c r="T206" i="4"/>
  <c r="S206" i="4"/>
  <c r="R206" i="4"/>
  <c r="Q206" i="4"/>
  <c r="P206" i="4"/>
  <c r="O206" i="4"/>
  <c r="T205" i="4"/>
  <c r="S205" i="4"/>
  <c r="R205" i="4"/>
  <c r="Q205" i="4"/>
  <c r="P205" i="4"/>
  <c r="O205" i="4"/>
  <c r="T204" i="4"/>
  <c r="S204" i="4"/>
  <c r="R204" i="4"/>
  <c r="Q204" i="4"/>
  <c r="P204" i="4"/>
  <c r="O204" i="4"/>
  <c r="T203" i="4"/>
  <c r="S203" i="4"/>
  <c r="R203" i="4"/>
  <c r="Q203" i="4"/>
  <c r="P203" i="4"/>
  <c r="O203" i="4"/>
  <c r="T202" i="4"/>
  <c r="S202" i="4"/>
  <c r="R202" i="4"/>
  <c r="Q202" i="4"/>
  <c r="P202" i="4"/>
  <c r="O202" i="4"/>
  <c r="T201" i="4"/>
  <c r="S201" i="4"/>
  <c r="R201" i="4"/>
  <c r="Q201" i="4"/>
  <c r="P201" i="4"/>
  <c r="O201" i="4"/>
  <c r="T200" i="4"/>
  <c r="S200" i="4"/>
  <c r="R200" i="4"/>
  <c r="Q200" i="4"/>
  <c r="P200" i="4"/>
  <c r="O200" i="4"/>
  <c r="T199" i="4"/>
  <c r="S199" i="4"/>
  <c r="R199" i="4"/>
  <c r="Q199" i="4"/>
  <c r="P199" i="4"/>
  <c r="O199" i="4"/>
  <c r="T198" i="4"/>
  <c r="S198" i="4"/>
  <c r="R198" i="4"/>
  <c r="Q198" i="4"/>
  <c r="P198" i="4"/>
  <c r="O198" i="4"/>
  <c r="T197" i="4"/>
  <c r="S197" i="4"/>
  <c r="R197" i="4"/>
  <c r="Q197" i="4"/>
  <c r="P197" i="4"/>
  <c r="O197" i="4"/>
  <c r="T196" i="4"/>
  <c r="S196" i="4"/>
  <c r="R196" i="4"/>
  <c r="Q196" i="4"/>
  <c r="P196" i="4"/>
  <c r="O196" i="4"/>
  <c r="T195" i="4"/>
  <c r="S195" i="4"/>
  <c r="R195" i="4"/>
  <c r="Q195" i="4"/>
  <c r="P195" i="4"/>
  <c r="O195" i="4"/>
  <c r="T194" i="4"/>
  <c r="S194" i="4"/>
  <c r="R194" i="4"/>
  <c r="Q194" i="4"/>
  <c r="P194" i="4"/>
  <c r="O194" i="4"/>
  <c r="T193" i="4"/>
  <c r="S193" i="4"/>
  <c r="R193" i="4"/>
  <c r="Q193" i="4"/>
  <c r="P193" i="4"/>
  <c r="O193" i="4"/>
  <c r="T192" i="4"/>
  <c r="S192" i="4"/>
  <c r="R192" i="4"/>
  <c r="Q192" i="4"/>
  <c r="P192" i="4"/>
  <c r="O192" i="4"/>
  <c r="T191" i="4"/>
  <c r="S191" i="4"/>
  <c r="R191" i="4"/>
  <c r="Q191" i="4"/>
  <c r="P191" i="4"/>
  <c r="O191" i="4"/>
  <c r="T190" i="4"/>
  <c r="S190" i="4"/>
  <c r="R190" i="4"/>
  <c r="Q190" i="4"/>
  <c r="P190" i="4"/>
  <c r="O190" i="4"/>
  <c r="T189" i="4"/>
  <c r="S189" i="4"/>
  <c r="R189" i="4"/>
  <c r="Q189" i="4"/>
  <c r="P189" i="4"/>
  <c r="O189" i="4"/>
  <c r="T188" i="4"/>
  <c r="S188" i="4"/>
  <c r="R188" i="4"/>
  <c r="Q188" i="4"/>
  <c r="P188" i="4"/>
  <c r="O188" i="4"/>
  <c r="T187" i="4"/>
  <c r="S187" i="4"/>
  <c r="R187" i="4"/>
  <c r="Q187" i="4"/>
  <c r="P187" i="4"/>
  <c r="O187" i="4"/>
  <c r="T186" i="4"/>
  <c r="S186" i="4"/>
  <c r="R186" i="4"/>
  <c r="Q186" i="4"/>
  <c r="P186" i="4"/>
  <c r="O186" i="4"/>
  <c r="T185" i="4"/>
  <c r="S185" i="4"/>
  <c r="R185" i="4"/>
  <c r="Q185" i="4"/>
  <c r="P185" i="4"/>
  <c r="O185" i="4"/>
  <c r="T184" i="4"/>
  <c r="S184" i="4"/>
  <c r="R184" i="4"/>
  <c r="Q184" i="4"/>
  <c r="P184" i="4"/>
  <c r="O184" i="4"/>
  <c r="T183" i="4"/>
  <c r="S183" i="4"/>
  <c r="R183" i="4"/>
  <c r="Q183" i="4"/>
  <c r="P183" i="4"/>
  <c r="O183" i="4"/>
  <c r="T182" i="4"/>
  <c r="S182" i="4"/>
  <c r="R182" i="4"/>
  <c r="Q182" i="4"/>
  <c r="P182" i="4"/>
  <c r="O182" i="4"/>
  <c r="T181" i="4"/>
  <c r="S181" i="4"/>
  <c r="R181" i="4"/>
  <c r="Q181" i="4"/>
  <c r="P181" i="4"/>
  <c r="O181" i="4"/>
  <c r="T180" i="4"/>
  <c r="S180" i="4"/>
  <c r="R180" i="4"/>
  <c r="Q180" i="4"/>
  <c r="P180" i="4"/>
  <c r="O180" i="4"/>
  <c r="T179" i="4"/>
  <c r="S179" i="4"/>
  <c r="R179" i="4"/>
  <c r="Q179" i="4"/>
  <c r="P179" i="4"/>
  <c r="O179" i="4"/>
  <c r="T178" i="4"/>
  <c r="S178" i="4"/>
  <c r="R178" i="4"/>
  <c r="Q178" i="4"/>
  <c r="P178" i="4"/>
  <c r="O178" i="4"/>
  <c r="T177" i="4"/>
  <c r="S177" i="4"/>
  <c r="R177" i="4"/>
  <c r="Q177" i="4"/>
  <c r="P177" i="4"/>
  <c r="O177" i="4"/>
  <c r="T176" i="4"/>
  <c r="S176" i="4"/>
  <c r="R176" i="4"/>
  <c r="Q176" i="4"/>
  <c r="P176" i="4"/>
  <c r="O176" i="4"/>
  <c r="T175" i="4"/>
  <c r="S175" i="4"/>
  <c r="R175" i="4"/>
  <c r="Q175" i="4"/>
  <c r="P175" i="4"/>
  <c r="O175" i="4"/>
  <c r="T174" i="4"/>
  <c r="S174" i="4"/>
  <c r="R174" i="4"/>
  <c r="Q174" i="4"/>
  <c r="P174" i="4"/>
  <c r="O174" i="4"/>
  <c r="T173" i="4"/>
  <c r="S173" i="4"/>
  <c r="R173" i="4"/>
  <c r="Q173" i="4"/>
  <c r="P173" i="4"/>
  <c r="O173" i="4"/>
  <c r="T172" i="4"/>
  <c r="S172" i="4"/>
  <c r="R172" i="4"/>
  <c r="Q172" i="4"/>
  <c r="P172" i="4"/>
  <c r="O172" i="4"/>
  <c r="T171" i="4"/>
  <c r="S171" i="4"/>
  <c r="R171" i="4"/>
  <c r="Q171" i="4"/>
  <c r="P171" i="4"/>
  <c r="O171" i="4"/>
  <c r="T170" i="4"/>
  <c r="S170" i="4"/>
  <c r="R170" i="4"/>
  <c r="Q170" i="4"/>
  <c r="P170" i="4"/>
  <c r="O170" i="4"/>
  <c r="T169" i="4"/>
  <c r="S169" i="4"/>
  <c r="R169" i="4"/>
  <c r="Q169" i="4"/>
  <c r="P169" i="4"/>
  <c r="O169" i="4"/>
  <c r="T168" i="4"/>
  <c r="S168" i="4"/>
  <c r="R168" i="4"/>
  <c r="Q168" i="4"/>
  <c r="P168" i="4"/>
  <c r="O168" i="4"/>
  <c r="T167" i="4"/>
  <c r="S167" i="4"/>
  <c r="R167" i="4"/>
  <c r="Q167" i="4"/>
  <c r="P167" i="4"/>
  <c r="O167" i="4"/>
  <c r="T166" i="4"/>
  <c r="S166" i="4"/>
  <c r="R166" i="4"/>
  <c r="Q166" i="4"/>
  <c r="P166" i="4"/>
  <c r="O166" i="4"/>
  <c r="T165" i="4"/>
  <c r="S165" i="4"/>
  <c r="R165" i="4"/>
  <c r="Q165" i="4"/>
  <c r="P165" i="4"/>
  <c r="O165" i="4"/>
  <c r="T164" i="4"/>
  <c r="S164" i="4"/>
  <c r="R164" i="4"/>
  <c r="Q164" i="4"/>
  <c r="P164" i="4"/>
  <c r="O164" i="4"/>
  <c r="T163" i="4"/>
  <c r="S163" i="4"/>
  <c r="R163" i="4"/>
  <c r="Q163" i="4"/>
  <c r="P163" i="4"/>
  <c r="O163" i="4"/>
  <c r="T162" i="4"/>
  <c r="S162" i="4"/>
  <c r="R162" i="4"/>
  <c r="Q162" i="4"/>
  <c r="P162" i="4"/>
  <c r="O162" i="4"/>
  <c r="T161" i="4"/>
  <c r="S161" i="4"/>
  <c r="R161" i="4"/>
  <c r="Q161" i="4"/>
  <c r="P161" i="4"/>
  <c r="O161" i="4"/>
  <c r="T160" i="4"/>
  <c r="S160" i="4"/>
  <c r="R160" i="4"/>
  <c r="Q160" i="4"/>
  <c r="P160" i="4"/>
  <c r="O160" i="4"/>
  <c r="T159" i="4"/>
  <c r="S159" i="4"/>
  <c r="R159" i="4"/>
  <c r="Q159" i="4"/>
  <c r="P159" i="4"/>
  <c r="O159" i="4"/>
  <c r="T158" i="4"/>
  <c r="S158" i="4"/>
  <c r="R158" i="4"/>
  <c r="Q158" i="4"/>
  <c r="P158" i="4"/>
  <c r="O158" i="4"/>
  <c r="T157" i="4"/>
  <c r="S157" i="4"/>
  <c r="R157" i="4"/>
  <c r="Q157" i="4"/>
  <c r="P157" i="4"/>
  <c r="O157" i="4"/>
  <c r="T156" i="4"/>
  <c r="S156" i="4"/>
  <c r="R156" i="4"/>
  <c r="Q156" i="4"/>
  <c r="P156" i="4"/>
  <c r="O156" i="4"/>
  <c r="T155" i="4"/>
  <c r="S155" i="4"/>
  <c r="R155" i="4"/>
  <c r="Q155" i="4"/>
  <c r="P155" i="4"/>
  <c r="O155" i="4"/>
  <c r="T154" i="4"/>
  <c r="S154" i="4"/>
  <c r="R154" i="4"/>
  <c r="Q154" i="4"/>
  <c r="P154" i="4"/>
  <c r="O154" i="4"/>
  <c r="T153" i="4"/>
  <c r="S153" i="4"/>
  <c r="R153" i="4"/>
  <c r="Q153" i="4"/>
  <c r="P153" i="4"/>
  <c r="O153" i="4"/>
  <c r="T152" i="4"/>
  <c r="S152" i="4"/>
  <c r="R152" i="4"/>
  <c r="Q152" i="4"/>
  <c r="P152" i="4"/>
  <c r="O152" i="4"/>
  <c r="T151" i="4"/>
  <c r="S151" i="4"/>
  <c r="R151" i="4"/>
  <c r="Q151" i="4"/>
  <c r="P151" i="4"/>
  <c r="O151" i="4"/>
  <c r="T150" i="4"/>
  <c r="S150" i="4"/>
  <c r="R150" i="4"/>
  <c r="Q150" i="4"/>
  <c r="P150" i="4"/>
  <c r="O150" i="4"/>
  <c r="T149" i="4"/>
  <c r="S149" i="4"/>
  <c r="R149" i="4"/>
  <c r="Q149" i="4"/>
  <c r="P149" i="4"/>
  <c r="O149" i="4"/>
  <c r="T148" i="4"/>
  <c r="S148" i="4"/>
  <c r="R148" i="4"/>
  <c r="Q148" i="4"/>
  <c r="P148" i="4"/>
  <c r="O148" i="4"/>
  <c r="T147" i="4"/>
  <c r="S147" i="4"/>
  <c r="R147" i="4"/>
  <c r="Q147" i="4"/>
  <c r="P147" i="4"/>
  <c r="O147" i="4"/>
  <c r="T146" i="4"/>
  <c r="S146" i="4"/>
  <c r="R146" i="4"/>
  <c r="Q146" i="4"/>
  <c r="P146" i="4"/>
  <c r="O146" i="4"/>
  <c r="T145" i="4"/>
  <c r="S145" i="4"/>
  <c r="R145" i="4"/>
  <c r="Q145" i="4"/>
  <c r="P145" i="4"/>
  <c r="O145" i="4"/>
  <c r="T144" i="4"/>
  <c r="S144" i="4"/>
  <c r="R144" i="4"/>
  <c r="Q144" i="4"/>
  <c r="P144" i="4"/>
  <c r="O144" i="4"/>
  <c r="T143" i="4"/>
  <c r="S143" i="4"/>
  <c r="R143" i="4"/>
  <c r="Q143" i="4"/>
  <c r="P143" i="4"/>
  <c r="O143" i="4"/>
  <c r="T142" i="4"/>
  <c r="S142" i="4"/>
  <c r="R142" i="4"/>
  <c r="Q142" i="4"/>
  <c r="P142" i="4"/>
  <c r="O142" i="4"/>
  <c r="T141" i="4"/>
  <c r="S141" i="4"/>
  <c r="R141" i="4"/>
  <c r="Q141" i="4"/>
  <c r="P141" i="4"/>
  <c r="O141" i="4"/>
  <c r="T140" i="4"/>
  <c r="S140" i="4"/>
  <c r="R140" i="4"/>
  <c r="Q140" i="4"/>
  <c r="P140" i="4"/>
  <c r="O140" i="4"/>
  <c r="T139" i="4"/>
  <c r="S139" i="4"/>
  <c r="R139" i="4"/>
  <c r="Q139" i="4"/>
  <c r="P139" i="4"/>
  <c r="O139" i="4"/>
  <c r="T138" i="4"/>
  <c r="S138" i="4"/>
  <c r="R138" i="4"/>
  <c r="Q138" i="4"/>
  <c r="P138" i="4"/>
  <c r="O138" i="4"/>
  <c r="T137" i="4"/>
  <c r="S137" i="4"/>
  <c r="R137" i="4"/>
  <c r="Q137" i="4"/>
  <c r="P137" i="4"/>
  <c r="O137" i="4"/>
  <c r="T136" i="4"/>
  <c r="S136" i="4"/>
  <c r="R136" i="4"/>
  <c r="Q136" i="4"/>
  <c r="P136" i="4"/>
  <c r="O136" i="4"/>
  <c r="T135" i="4"/>
  <c r="S135" i="4"/>
  <c r="R135" i="4"/>
  <c r="Q135" i="4"/>
  <c r="P135" i="4"/>
  <c r="O135" i="4"/>
  <c r="T134" i="4"/>
  <c r="S134" i="4"/>
  <c r="R134" i="4"/>
  <c r="Q134" i="4"/>
  <c r="P134" i="4"/>
  <c r="O134" i="4"/>
  <c r="T133" i="4"/>
  <c r="S133" i="4"/>
  <c r="R133" i="4"/>
  <c r="Q133" i="4"/>
  <c r="P133" i="4"/>
  <c r="O133" i="4"/>
  <c r="T132" i="4"/>
  <c r="S132" i="4"/>
  <c r="R132" i="4"/>
  <c r="Q132" i="4"/>
  <c r="P132" i="4"/>
  <c r="O132" i="4"/>
  <c r="T131" i="4"/>
  <c r="S131" i="4"/>
  <c r="R131" i="4"/>
  <c r="Q131" i="4"/>
  <c r="P131" i="4"/>
  <c r="O131" i="4"/>
  <c r="T130" i="4"/>
  <c r="S130" i="4"/>
  <c r="R130" i="4"/>
  <c r="Q130" i="4"/>
  <c r="P130" i="4"/>
  <c r="O130" i="4"/>
  <c r="T129" i="4"/>
  <c r="S129" i="4"/>
  <c r="R129" i="4"/>
  <c r="Q129" i="4"/>
  <c r="P129" i="4"/>
  <c r="O129" i="4"/>
  <c r="T128" i="4"/>
  <c r="S128" i="4"/>
  <c r="R128" i="4"/>
  <c r="Q128" i="4"/>
  <c r="P128" i="4"/>
  <c r="O128" i="4"/>
  <c r="T127" i="4"/>
  <c r="S127" i="4"/>
  <c r="R127" i="4"/>
  <c r="Q127" i="4"/>
  <c r="P127" i="4"/>
  <c r="O127" i="4"/>
  <c r="T126" i="4"/>
  <c r="S126" i="4"/>
  <c r="R126" i="4"/>
  <c r="Q126" i="4"/>
  <c r="P126" i="4"/>
  <c r="O126" i="4"/>
  <c r="T125" i="4"/>
  <c r="S125" i="4"/>
  <c r="R125" i="4"/>
  <c r="Q125" i="4"/>
  <c r="P125" i="4"/>
  <c r="O125" i="4"/>
  <c r="T124" i="4"/>
  <c r="S124" i="4"/>
  <c r="R124" i="4"/>
  <c r="Q124" i="4"/>
  <c r="P124" i="4"/>
  <c r="O124" i="4"/>
  <c r="T123" i="4"/>
  <c r="S123" i="4"/>
  <c r="R123" i="4"/>
  <c r="Q123" i="4"/>
  <c r="P123" i="4"/>
  <c r="O123" i="4"/>
  <c r="T122" i="4"/>
  <c r="S122" i="4"/>
  <c r="R122" i="4"/>
  <c r="Q122" i="4"/>
  <c r="P122" i="4"/>
  <c r="O122" i="4"/>
  <c r="T121" i="4"/>
  <c r="S121" i="4"/>
  <c r="R121" i="4"/>
  <c r="Q121" i="4"/>
  <c r="P121" i="4"/>
  <c r="O121" i="4"/>
  <c r="T120" i="4"/>
  <c r="S120" i="4"/>
  <c r="R120" i="4"/>
  <c r="Q120" i="4"/>
  <c r="P120" i="4"/>
  <c r="O120" i="4"/>
  <c r="T119" i="4"/>
  <c r="S119" i="4"/>
  <c r="R119" i="4"/>
  <c r="Q119" i="4"/>
  <c r="P119" i="4"/>
  <c r="O119" i="4"/>
  <c r="T118" i="4"/>
  <c r="S118" i="4"/>
  <c r="R118" i="4"/>
  <c r="Q118" i="4"/>
  <c r="P118" i="4"/>
  <c r="O118" i="4"/>
  <c r="T117" i="4"/>
  <c r="S117" i="4"/>
  <c r="R117" i="4"/>
  <c r="Q117" i="4"/>
  <c r="P117" i="4"/>
  <c r="O117" i="4"/>
  <c r="T116" i="4"/>
  <c r="S116" i="4"/>
  <c r="R116" i="4"/>
  <c r="Q116" i="4"/>
  <c r="P116" i="4"/>
  <c r="O116" i="4"/>
  <c r="T115" i="4"/>
  <c r="S115" i="4"/>
  <c r="R115" i="4"/>
  <c r="Q115" i="4"/>
  <c r="P115" i="4"/>
  <c r="O115" i="4"/>
  <c r="T114" i="4"/>
  <c r="S114" i="4"/>
  <c r="R114" i="4"/>
  <c r="Q114" i="4"/>
  <c r="P114" i="4"/>
  <c r="O114" i="4"/>
  <c r="T113" i="4"/>
  <c r="S113" i="4"/>
  <c r="R113" i="4"/>
  <c r="Q113" i="4"/>
  <c r="P113" i="4"/>
  <c r="O113" i="4"/>
  <c r="T112" i="4"/>
  <c r="S112" i="4"/>
  <c r="R112" i="4"/>
  <c r="Q112" i="4"/>
  <c r="P112" i="4"/>
  <c r="O112" i="4"/>
  <c r="T111" i="4"/>
  <c r="S111" i="4"/>
  <c r="R111" i="4"/>
  <c r="Q111" i="4"/>
  <c r="P111" i="4"/>
  <c r="O111" i="4"/>
  <c r="T110" i="4"/>
  <c r="S110" i="4"/>
  <c r="R110" i="4"/>
  <c r="Q110" i="4"/>
  <c r="P110" i="4"/>
  <c r="O110" i="4"/>
  <c r="T109" i="4"/>
  <c r="S109" i="4"/>
  <c r="R109" i="4"/>
  <c r="Q109" i="4"/>
  <c r="P109" i="4"/>
  <c r="O109" i="4"/>
  <c r="T108" i="4"/>
  <c r="S108" i="4"/>
  <c r="R108" i="4"/>
  <c r="Q108" i="4"/>
  <c r="P108" i="4"/>
  <c r="O108" i="4"/>
  <c r="T107" i="4"/>
  <c r="S107" i="4"/>
  <c r="R107" i="4"/>
  <c r="Q107" i="4"/>
  <c r="P107" i="4"/>
  <c r="O107" i="4"/>
  <c r="T106" i="4"/>
  <c r="S106" i="4"/>
  <c r="R106" i="4"/>
  <c r="Q106" i="4"/>
  <c r="P106" i="4"/>
  <c r="O106" i="4"/>
  <c r="T105" i="4"/>
  <c r="S105" i="4"/>
  <c r="R105" i="4"/>
  <c r="Q105" i="4"/>
  <c r="P105" i="4"/>
  <c r="O105" i="4"/>
  <c r="T104" i="4"/>
  <c r="S104" i="4"/>
  <c r="R104" i="4"/>
  <c r="Q104" i="4"/>
  <c r="P104" i="4"/>
  <c r="O104" i="4"/>
  <c r="T103" i="4"/>
  <c r="S103" i="4"/>
  <c r="R103" i="4"/>
  <c r="Q103" i="4"/>
  <c r="P103" i="4"/>
  <c r="O103" i="4"/>
  <c r="T102" i="4"/>
  <c r="S102" i="4"/>
  <c r="R102" i="4"/>
  <c r="Q102" i="4"/>
  <c r="P102" i="4"/>
  <c r="O102" i="4"/>
  <c r="T101" i="4"/>
  <c r="S101" i="4"/>
  <c r="R101" i="4"/>
  <c r="Q101" i="4"/>
  <c r="P101" i="4"/>
  <c r="O101" i="4"/>
  <c r="T100" i="4"/>
  <c r="S100" i="4"/>
  <c r="R100" i="4"/>
  <c r="Q100" i="4"/>
  <c r="P100" i="4"/>
  <c r="O100" i="4"/>
  <c r="T99" i="4"/>
  <c r="S99" i="4"/>
  <c r="R99" i="4"/>
  <c r="Q99" i="4"/>
  <c r="P99" i="4"/>
  <c r="O99" i="4"/>
  <c r="T98" i="4"/>
  <c r="S98" i="4"/>
  <c r="R98" i="4"/>
  <c r="Q98" i="4"/>
  <c r="P98" i="4"/>
  <c r="O98" i="4"/>
  <c r="T97" i="4"/>
  <c r="S97" i="4"/>
  <c r="R97" i="4"/>
  <c r="Q97" i="4"/>
  <c r="P97" i="4"/>
  <c r="O97" i="4"/>
  <c r="T96" i="4"/>
  <c r="S96" i="4"/>
  <c r="R96" i="4"/>
  <c r="Q96" i="4"/>
  <c r="P96" i="4"/>
  <c r="O96" i="4"/>
  <c r="T95" i="4"/>
  <c r="S95" i="4"/>
  <c r="R95" i="4"/>
  <c r="Q95" i="4"/>
  <c r="P95" i="4"/>
  <c r="O95" i="4"/>
  <c r="T94" i="4"/>
  <c r="S94" i="4"/>
  <c r="R94" i="4"/>
  <c r="Q94" i="4"/>
  <c r="P94" i="4"/>
  <c r="O94" i="4"/>
  <c r="T93" i="4"/>
  <c r="S93" i="4"/>
  <c r="R93" i="4"/>
  <c r="Q93" i="4"/>
  <c r="P93" i="4"/>
  <c r="O93" i="4"/>
  <c r="T92" i="4"/>
  <c r="S92" i="4"/>
  <c r="R92" i="4"/>
  <c r="Q92" i="4"/>
  <c r="P92" i="4"/>
  <c r="O92" i="4"/>
  <c r="T91" i="4"/>
  <c r="S91" i="4"/>
  <c r="R91" i="4"/>
  <c r="Q91" i="4"/>
  <c r="P91" i="4"/>
  <c r="O91" i="4"/>
  <c r="T90" i="4"/>
  <c r="S90" i="4"/>
  <c r="R90" i="4"/>
  <c r="Q90" i="4"/>
  <c r="P90" i="4"/>
  <c r="O90" i="4"/>
  <c r="T89" i="4"/>
  <c r="S89" i="4"/>
  <c r="R89" i="4"/>
  <c r="Q89" i="4"/>
  <c r="P89" i="4"/>
  <c r="O89" i="4"/>
  <c r="T88" i="4"/>
  <c r="S88" i="4"/>
  <c r="R88" i="4"/>
  <c r="Q88" i="4"/>
  <c r="P88" i="4"/>
  <c r="O88" i="4"/>
  <c r="T87" i="4"/>
  <c r="S87" i="4"/>
  <c r="R87" i="4"/>
  <c r="Q87" i="4"/>
  <c r="P87" i="4"/>
  <c r="O87" i="4"/>
  <c r="T86" i="4"/>
  <c r="S86" i="4"/>
  <c r="R86" i="4"/>
  <c r="Q86" i="4"/>
  <c r="P86" i="4"/>
  <c r="O86" i="4"/>
  <c r="T85" i="4"/>
  <c r="S85" i="4"/>
  <c r="R85" i="4"/>
  <c r="Q85" i="4"/>
  <c r="P85" i="4"/>
  <c r="O85" i="4"/>
  <c r="T84" i="4"/>
  <c r="S84" i="4"/>
  <c r="R84" i="4"/>
  <c r="Q84" i="4"/>
  <c r="P84" i="4"/>
  <c r="O84" i="4"/>
  <c r="T83" i="4"/>
  <c r="S83" i="4"/>
  <c r="R83" i="4"/>
  <c r="Q83" i="4"/>
  <c r="P83" i="4"/>
  <c r="O83" i="4"/>
  <c r="T82" i="4"/>
  <c r="S82" i="4"/>
  <c r="R82" i="4"/>
  <c r="Q82" i="4"/>
  <c r="P82" i="4"/>
  <c r="O82" i="4"/>
  <c r="T81" i="4"/>
  <c r="S81" i="4"/>
  <c r="R81" i="4"/>
  <c r="Q81" i="4"/>
  <c r="P81" i="4"/>
  <c r="O81" i="4"/>
  <c r="T80" i="4"/>
  <c r="S80" i="4"/>
  <c r="R80" i="4"/>
  <c r="Q80" i="4"/>
  <c r="P80" i="4"/>
  <c r="O80" i="4"/>
  <c r="T79" i="4"/>
  <c r="S79" i="4"/>
  <c r="R79" i="4"/>
  <c r="Q79" i="4"/>
  <c r="P79" i="4"/>
  <c r="O79" i="4"/>
  <c r="T78" i="4"/>
  <c r="S78" i="4"/>
  <c r="R78" i="4"/>
  <c r="Q78" i="4"/>
  <c r="P78" i="4"/>
  <c r="O78" i="4"/>
  <c r="T77" i="4"/>
  <c r="S77" i="4"/>
  <c r="R77" i="4"/>
  <c r="Q77" i="4"/>
  <c r="P77" i="4"/>
  <c r="O77" i="4"/>
  <c r="T76" i="4"/>
  <c r="S76" i="4"/>
  <c r="R76" i="4"/>
  <c r="Q76" i="4"/>
  <c r="P76" i="4"/>
  <c r="O76" i="4"/>
  <c r="T75" i="4"/>
  <c r="S75" i="4"/>
  <c r="R75" i="4"/>
  <c r="Q75" i="4"/>
  <c r="P75" i="4"/>
  <c r="O75" i="4"/>
  <c r="T74" i="4"/>
  <c r="S74" i="4"/>
  <c r="R74" i="4"/>
  <c r="Q74" i="4"/>
  <c r="P74" i="4"/>
  <c r="O74" i="4"/>
  <c r="T73" i="4"/>
  <c r="S73" i="4"/>
  <c r="R73" i="4"/>
  <c r="Q73" i="4"/>
  <c r="P73" i="4"/>
  <c r="O73" i="4"/>
  <c r="T72" i="4"/>
  <c r="S72" i="4"/>
  <c r="R72" i="4"/>
  <c r="Q72" i="4"/>
  <c r="P72" i="4"/>
  <c r="O72" i="4"/>
  <c r="T71" i="4"/>
  <c r="S71" i="4"/>
  <c r="R71" i="4"/>
  <c r="Q71" i="4"/>
  <c r="P71" i="4"/>
  <c r="O71" i="4"/>
  <c r="T70" i="4"/>
  <c r="S70" i="4"/>
  <c r="R70" i="4"/>
  <c r="Q70" i="4"/>
  <c r="P70" i="4"/>
  <c r="O70" i="4"/>
  <c r="T69" i="4"/>
  <c r="S69" i="4"/>
  <c r="R69" i="4"/>
  <c r="Q69" i="4"/>
  <c r="P69" i="4"/>
  <c r="O69" i="4"/>
  <c r="T68" i="4"/>
  <c r="S68" i="4"/>
  <c r="R68" i="4"/>
  <c r="Q68" i="4"/>
  <c r="P68" i="4"/>
  <c r="O68" i="4"/>
  <c r="T67" i="4"/>
  <c r="S67" i="4"/>
  <c r="R67" i="4"/>
  <c r="Q67" i="4"/>
  <c r="P67" i="4"/>
  <c r="O67" i="4"/>
  <c r="T66" i="4"/>
  <c r="S66" i="4"/>
  <c r="R66" i="4"/>
  <c r="Q66" i="4"/>
  <c r="P66" i="4"/>
  <c r="O66" i="4"/>
  <c r="T65" i="4"/>
  <c r="S65" i="4"/>
  <c r="R65" i="4"/>
  <c r="Q65" i="4"/>
  <c r="P65" i="4"/>
  <c r="O65" i="4"/>
  <c r="T64" i="4"/>
  <c r="S64" i="4"/>
  <c r="R64" i="4"/>
  <c r="Q64" i="4"/>
  <c r="P64" i="4"/>
  <c r="O64" i="4"/>
  <c r="T63" i="4"/>
  <c r="S63" i="4"/>
  <c r="R63" i="4"/>
  <c r="Q63" i="4"/>
  <c r="P63" i="4"/>
  <c r="O63" i="4"/>
  <c r="T62" i="4"/>
  <c r="S62" i="4"/>
  <c r="R62" i="4"/>
  <c r="Q62" i="4"/>
  <c r="P62" i="4"/>
  <c r="O62" i="4"/>
  <c r="T61" i="4"/>
  <c r="S61" i="4"/>
  <c r="R61" i="4"/>
  <c r="Q61" i="4"/>
  <c r="P61" i="4"/>
  <c r="O61" i="4"/>
  <c r="T60" i="4"/>
  <c r="S60" i="4"/>
  <c r="R60" i="4"/>
  <c r="Q60" i="4"/>
  <c r="P60" i="4"/>
  <c r="O60" i="4"/>
  <c r="T59" i="4"/>
  <c r="S59" i="4"/>
  <c r="R59" i="4"/>
  <c r="Q59" i="4"/>
  <c r="P59" i="4"/>
  <c r="O59" i="4"/>
  <c r="T58" i="4"/>
  <c r="S58" i="4"/>
  <c r="R58" i="4"/>
  <c r="Q58" i="4"/>
  <c r="P58" i="4"/>
  <c r="O58" i="4"/>
  <c r="T57" i="4"/>
  <c r="S57" i="4"/>
  <c r="R57" i="4"/>
  <c r="Q57" i="4"/>
  <c r="P57" i="4"/>
  <c r="O57" i="4"/>
  <c r="T56" i="4"/>
  <c r="S56" i="4"/>
  <c r="R56" i="4"/>
  <c r="Q56" i="4"/>
  <c r="P56" i="4"/>
  <c r="O56" i="4"/>
  <c r="T55" i="4"/>
  <c r="S55" i="4"/>
  <c r="R55" i="4"/>
  <c r="Q55" i="4"/>
  <c r="P55" i="4"/>
  <c r="O55" i="4"/>
  <c r="T54" i="4"/>
  <c r="S54" i="4"/>
  <c r="R54" i="4"/>
  <c r="Q54" i="4"/>
  <c r="P54" i="4"/>
  <c r="O54" i="4"/>
  <c r="T53" i="4"/>
  <c r="S53" i="4"/>
  <c r="R53" i="4"/>
  <c r="Q53" i="4"/>
  <c r="P53" i="4"/>
  <c r="O53" i="4"/>
  <c r="T52" i="4"/>
  <c r="S52" i="4"/>
  <c r="R52" i="4"/>
  <c r="Q52" i="4"/>
  <c r="P52" i="4"/>
  <c r="O52" i="4"/>
  <c r="T51" i="4"/>
  <c r="S51" i="4"/>
  <c r="R51" i="4"/>
  <c r="Q51" i="4"/>
  <c r="P51" i="4"/>
  <c r="O51" i="4"/>
  <c r="T50" i="4"/>
  <c r="S50" i="4"/>
  <c r="R50" i="4"/>
  <c r="Q50" i="4"/>
  <c r="P50" i="4"/>
  <c r="O50" i="4"/>
  <c r="T49" i="4"/>
  <c r="S49" i="4"/>
  <c r="R49" i="4"/>
  <c r="Q49" i="4"/>
  <c r="P49" i="4"/>
  <c r="O49" i="4"/>
  <c r="T48" i="4"/>
  <c r="S48" i="4"/>
  <c r="R48" i="4"/>
  <c r="Q48" i="4"/>
  <c r="P48" i="4"/>
  <c r="O48" i="4"/>
  <c r="T47" i="4"/>
  <c r="S47" i="4"/>
  <c r="R47" i="4"/>
  <c r="Q47" i="4"/>
  <c r="P47" i="4"/>
  <c r="O47" i="4"/>
  <c r="T46" i="4"/>
  <c r="S46" i="4"/>
  <c r="R46" i="4"/>
  <c r="Q46" i="4"/>
  <c r="P46" i="4"/>
  <c r="O46" i="4"/>
  <c r="T45" i="4"/>
  <c r="S45" i="4"/>
  <c r="R45" i="4"/>
  <c r="Q45" i="4"/>
  <c r="P45" i="4"/>
  <c r="O45" i="4"/>
  <c r="T44" i="4"/>
  <c r="S44" i="4"/>
  <c r="R44" i="4"/>
  <c r="Q44" i="4"/>
  <c r="P44" i="4"/>
  <c r="O44" i="4"/>
  <c r="T43" i="4"/>
  <c r="S43" i="4"/>
  <c r="R43" i="4"/>
  <c r="Q43" i="4"/>
  <c r="P43" i="4"/>
  <c r="O43" i="4"/>
  <c r="T42" i="4"/>
  <c r="S42" i="4"/>
  <c r="R42" i="4"/>
  <c r="Q42" i="4"/>
  <c r="P42" i="4"/>
  <c r="O42" i="4"/>
  <c r="T41" i="4"/>
  <c r="S41" i="4"/>
  <c r="R41" i="4"/>
  <c r="Q41" i="4"/>
  <c r="P41" i="4"/>
  <c r="O41" i="4"/>
  <c r="T40" i="4"/>
  <c r="S40" i="4"/>
  <c r="R40" i="4"/>
  <c r="Q40" i="4"/>
  <c r="P40" i="4"/>
  <c r="O40" i="4"/>
  <c r="T39" i="4"/>
  <c r="S39" i="4"/>
  <c r="R39" i="4"/>
  <c r="Q39" i="4"/>
  <c r="P39" i="4"/>
  <c r="O39" i="4"/>
  <c r="T38" i="4"/>
  <c r="S38" i="4"/>
  <c r="R38" i="4"/>
  <c r="Q38" i="4"/>
  <c r="P38" i="4"/>
  <c r="O38" i="4"/>
  <c r="T37" i="4"/>
  <c r="S37" i="4"/>
  <c r="R37" i="4"/>
  <c r="Q37" i="4"/>
  <c r="P37" i="4"/>
  <c r="O37" i="4"/>
  <c r="T36" i="4"/>
  <c r="S36" i="4"/>
  <c r="R36" i="4"/>
  <c r="Q36" i="4"/>
  <c r="P36" i="4"/>
  <c r="O36" i="4"/>
  <c r="T35" i="4"/>
  <c r="S35" i="4"/>
  <c r="R35" i="4"/>
  <c r="Q35" i="4"/>
  <c r="P35" i="4"/>
  <c r="O35" i="4"/>
  <c r="T34" i="4"/>
  <c r="S34" i="4"/>
  <c r="R34" i="4"/>
  <c r="Q34" i="4"/>
  <c r="P34" i="4"/>
  <c r="O34" i="4"/>
  <c r="T33" i="4"/>
  <c r="S33" i="4"/>
  <c r="R33" i="4"/>
  <c r="Q33" i="4"/>
  <c r="P33" i="4"/>
  <c r="O33" i="4"/>
  <c r="T32" i="4"/>
  <c r="S32" i="4"/>
  <c r="R32" i="4"/>
  <c r="Q32" i="4"/>
  <c r="P32" i="4"/>
  <c r="O32" i="4"/>
  <c r="T31" i="4"/>
  <c r="S31" i="4"/>
  <c r="R31" i="4"/>
  <c r="Q31" i="4"/>
  <c r="P31" i="4"/>
  <c r="O31" i="4"/>
  <c r="T30" i="4"/>
  <c r="S30" i="4"/>
  <c r="R30" i="4"/>
  <c r="Q30" i="4"/>
  <c r="P30" i="4"/>
  <c r="O30" i="4"/>
  <c r="T29" i="4"/>
  <c r="S29" i="4"/>
  <c r="R29" i="4"/>
  <c r="Q29" i="4"/>
  <c r="P29" i="4"/>
  <c r="O29" i="4"/>
  <c r="T28" i="4"/>
  <c r="S28" i="4"/>
  <c r="R28" i="4"/>
  <c r="Q28" i="4"/>
  <c r="P28" i="4"/>
  <c r="O28" i="4"/>
  <c r="T27" i="4"/>
  <c r="S27" i="4"/>
  <c r="R27" i="4"/>
  <c r="Q27" i="4"/>
  <c r="P27" i="4"/>
  <c r="O27" i="4"/>
  <c r="T26" i="4"/>
  <c r="S26" i="4"/>
  <c r="R26" i="4"/>
  <c r="Q26" i="4"/>
  <c r="P26" i="4"/>
  <c r="O26" i="4"/>
  <c r="T25" i="4"/>
  <c r="S25" i="4"/>
  <c r="R25" i="4"/>
  <c r="Q25" i="4"/>
  <c r="P25" i="4"/>
  <c r="O25" i="4"/>
  <c r="T24" i="4"/>
  <c r="S24" i="4"/>
  <c r="R24" i="4"/>
  <c r="Q24" i="4"/>
  <c r="P24" i="4"/>
  <c r="O24" i="4"/>
  <c r="T23" i="4"/>
  <c r="S23" i="4"/>
  <c r="R23" i="4"/>
  <c r="Q23" i="4"/>
  <c r="P23" i="4"/>
  <c r="O23" i="4"/>
  <c r="T22" i="4"/>
  <c r="S22" i="4"/>
  <c r="R22" i="4"/>
  <c r="Q22" i="4"/>
  <c r="P22" i="4"/>
  <c r="O22" i="4"/>
  <c r="T21" i="4"/>
  <c r="S21" i="4"/>
  <c r="R21" i="4"/>
  <c r="Q21" i="4"/>
  <c r="P21" i="4"/>
  <c r="O21" i="4"/>
  <c r="T20" i="4"/>
  <c r="S20" i="4"/>
  <c r="R20" i="4"/>
  <c r="Q20" i="4"/>
  <c r="P20" i="4"/>
  <c r="O20" i="4"/>
  <c r="T19" i="4"/>
  <c r="S19" i="4"/>
  <c r="R19" i="4"/>
  <c r="Q19" i="4"/>
  <c r="P19" i="4"/>
  <c r="O19" i="4"/>
  <c r="T18" i="4"/>
  <c r="S18" i="4"/>
  <c r="R18" i="4"/>
  <c r="Q18" i="4"/>
  <c r="P18" i="4"/>
  <c r="O18" i="4"/>
  <c r="T17" i="4"/>
  <c r="S17" i="4"/>
  <c r="R17" i="4"/>
  <c r="Q17" i="4"/>
  <c r="P17" i="4"/>
  <c r="O17" i="4"/>
  <c r="T16" i="4"/>
  <c r="S16" i="4"/>
  <c r="R16" i="4"/>
  <c r="Q16" i="4"/>
  <c r="P16" i="4"/>
  <c r="O16" i="4"/>
  <c r="T15" i="4"/>
  <c r="S15" i="4"/>
  <c r="R15" i="4"/>
  <c r="Q15" i="4"/>
  <c r="P15" i="4"/>
  <c r="O15" i="4"/>
  <c r="T14" i="4"/>
  <c r="S14" i="4"/>
  <c r="R14" i="4"/>
  <c r="Q14" i="4"/>
  <c r="P14" i="4"/>
  <c r="O14" i="4"/>
  <c r="T13" i="4"/>
  <c r="S13" i="4"/>
  <c r="R13" i="4"/>
  <c r="Q13" i="4"/>
  <c r="P13" i="4"/>
  <c r="O13" i="4"/>
  <c r="T12" i="4"/>
  <c r="S12" i="4"/>
  <c r="R12" i="4"/>
  <c r="Q12" i="4"/>
  <c r="P12" i="4"/>
  <c r="O12" i="4"/>
  <c r="T11" i="4"/>
  <c r="S11" i="4"/>
  <c r="R11" i="4"/>
  <c r="Q11" i="4"/>
  <c r="P11" i="4"/>
  <c r="O11" i="4"/>
  <c r="T10" i="4"/>
  <c r="S10" i="4"/>
  <c r="R10" i="4"/>
  <c r="Q10" i="4"/>
  <c r="P10" i="4"/>
  <c r="O10" i="4"/>
  <c r="T9" i="4"/>
  <c r="S9" i="4"/>
  <c r="R9" i="4"/>
  <c r="Q9" i="4"/>
  <c r="P9" i="4"/>
  <c r="O9" i="4"/>
  <c r="T8" i="4"/>
  <c r="S8" i="4"/>
  <c r="R8" i="4"/>
  <c r="Q8" i="4"/>
  <c r="P8" i="4"/>
  <c r="O8" i="4"/>
  <c r="T7" i="4"/>
  <c r="S7" i="4"/>
  <c r="R7" i="4"/>
  <c r="Q7" i="4"/>
  <c r="P7" i="4"/>
  <c r="O7" i="4"/>
  <c r="T6" i="4"/>
  <c r="S6" i="4"/>
  <c r="R6" i="4"/>
  <c r="Q6" i="4"/>
  <c r="P6" i="4"/>
  <c r="O6" i="4"/>
  <c r="T5" i="4"/>
  <c r="S5" i="4"/>
  <c r="R5" i="4"/>
  <c r="Q5" i="4"/>
  <c r="P5" i="4"/>
  <c r="O5" i="4"/>
  <c r="T4" i="4"/>
  <c r="S4" i="4"/>
  <c r="R4" i="4"/>
  <c r="Q4" i="4"/>
  <c r="P4" i="4"/>
  <c r="O4" i="4"/>
  <c r="T3" i="4"/>
  <c r="S3" i="4"/>
  <c r="R3" i="4"/>
  <c r="Q3" i="4"/>
  <c r="P3" i="4"/>
  <c r="O3" i="4"/>
  <c r="T2" i="4"/>
  <c r="S2" i="4"/>
  <c r="R2" i="4"/>
  <c r="Q2" i="4"/>
  <c r="P2" i="4"/>
  <c r="O2" i="4"/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2" i="3"/>
</calcChain>
</file>

<file path=xl/sharedStrings.xml><?xml version="1.0" encoding="utf-8"?>
<sst xmlns="http://schemas.openxmlformats.org/spreadsheetml/2006/main" count="4349" uniqueCount="140">
  <si>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</si>
  <si>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</si>
  <si>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</si>
  <si>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</si>
  <si>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</si>
  <si>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</si>
  <si>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</si>
  <si>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</si>
  <si>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</si>
  <si>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</si>
  <si>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</si>
  <si>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</si>
  <si>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</si>
  <si>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</si>
  <si>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</si>
  <si>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</si>
  <si>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</si>
  <si>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</si>
  <si>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</si>
  <si>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</si>
  <si>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</si>
  <si>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</si>
  <si>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</si>
  <si>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</si>
  <si>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</si>
  <si>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</si>
  <si>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</si>
  <si>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</si>
  <si>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</si>
  <si>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</si>
  <si>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</si>
  <si>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</si>
  <si>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</si>
  <si>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</si>
  <si>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</si>
  <si>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</si>
  <si>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</si>
  <si>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</si>
  <si>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</si>
  <si>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</si>
  <si>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</si>
  <si>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</si>
  <si>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</si>
  <si>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</si>
  <si>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</si>
  <si>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</si>
  <si>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</si>
  <si>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</si>
  <si>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</si>
  <si>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</si>
  <si>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</si>
  <si>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</si>
  <si>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</si>
  <si>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</si>
  <si>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</si>
  <si>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</si>
  <si>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</si>
  <si>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</si>
  <si>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</si>
  <si>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</si>
  <si>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</si>
  <si>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</si>
  <si>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</si>
  <si>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</si>
  <si>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</si>
  <si>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</si>
  <si>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</si>
  <si>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</si>
  <si>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</si>
  <si>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</si>
  <si>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</si>
  <si>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</si>
  <si>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</si>
  <si>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</si>
  <si>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</si>
  <si>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</si>
  <si>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</si>
  <si>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</si>
  <si>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</si>
  <si>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</si>
  <si>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</si>
  <si>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</si>
  <si>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</si>
  <si>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</si>
  <si>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</si>
  <si>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</si>
  <si>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</si>
  <si>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</si>
  <si>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</si>
  <si>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</si>
  <si>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</si>
  <si>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</si>
  <si>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</si>
  <si>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</si>
  <si>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</si>
  <si>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</si>
  <si>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</si>
  <si>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</si>
  <si>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</si>
  <si>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</si>
  <si>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</si>
  <si>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</si>
  <si>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Blank Values in Competitor Column</t>
  </si>
  <si>
    <t>Customer rating Columnn</t>
  </si>
  <si>
    <t>No duplicates found</t>
  </si>
  <si>
    <t>Summary</t>
  </si>
  <si>
    <t>Blank Values:</t>
  </si>
  <si>
    <t>Region_North</t>
  </si>
  <si>
    <t>Region_South</t>
  </si>
  <si>
    <t>Region_West</t>
  </si>
  <si>
    <t>Store_Airport</t>
  </si>
  <si>
    <t>Store_Mall</t>
  </si>
  <si>
    <t>Store_Residential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</si>
  <si>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</si>
  <si>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</si>
  <si>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</si>
  <si>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</si>
  <si>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</si>
  <si>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</si>
  <si>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</si>
  <si>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</si>
  <si>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</si>
  <si>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</si>
  <si>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</si>
  <si>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</si>
  <si>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</si>
  <si>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</si>
  <si>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</si>
  <si>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</si>
  <si>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</si>
  <si>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</si>
  <si>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</si>
  <si>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</si>
  <si>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</si>
  <si>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</si>
  <si>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</si>
  <si>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</si>
  <si>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Store_ID</t>
  </si>
  <si>
    <t>Actual Sales</t>
  </si>
  <si>
    <t>Predicated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</si>
</sst>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C8F7-243D-45A4-9FB3-F699E6FC58C0}">
  <dimension ref="A1:N321"/>
  <sheetViews>
    <sheetView topLeftCell="D1" workbookViewId="0">
      <selection activeCell="K7" sqref="K7"/>
    </sheetView>
  </sheetViews>
  <sheetFormatPr defaultColWidth="15.5703125" defaultRowHeight="15"/>
  <cols>
    <col min="11" max="11" width="19" customWidth="1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B160-FA5C-454C-8921-3AACC28667F4}">
  <dimension ref="A1:Q321"/>
  <sheetViews>
    <sheetView workbookViewId="0">
      <selection activeCell="P9" sqref="P9"/>
    </sheetView>
  </sheetViews>
  <sheetFormatPr defaultRowHeight="15"/>
  <cols>
    <col min="1" max="1" width="8.85546875" bestFit="1" customWidth="1"/>
    <col min="2" max="2" width="7.7109375" bestFit="1" customWidth="1"/>
    <col min="3" max="3" width="7.5703125" bestFit="1" customWidth="1"/>
    <col min="4" max="4" width="11" bestFit="1" customWidth="1"/>
    <col min="5" max="5" width="10" style="4" bestFit="1" customWidth="1"/>
    <col min="6" max="6" width="8.5703125" style="4" bestFit="1" customWidth="1"/>
    <col min="7" max="7" width="9.140625" style="4"/>
    <col min="8" max="8" width="9" style="4" bestFit="1" customWidth="1"/>
    <col min="9" max="9" width="8.7109375" style="4" bestFit="1" customWidth="1"/>
    <col min="10" max="10" width="9" style="4" bestFit="1" customWidth="1"/>
    <col min="11" max="11" width="8.140625" bestFit="1" customWidth="1"/>
    <col min="12" max="12" width="8.85546875" style="4" bestFit="1" customWidth="1"/>
    <col min="13" max="14" width="10" bestFit="1" customWidth="1"/>
    <col min="16" max="16" width="33" bestFit="1" customWidth="1"/>
  </cols>
  <sheetData>
    <row r="1" spans="1:17" ht="6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P1" s="9" t="s">
        <v>105</v>
      </c>
      <c r="Q1" s="9"/>
    </row>
    <row r="2" spans="1:17">
      <c r="A2" t="s">
        <v>14</v>
      </c>
      <c r="B2" s="2">
        <v>45658</v>
      </c>
      <c r="C2" t="s">
        <v>15</v>
      </c>
      <c r="D2" t="s">
        <v>16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>
        <v>1</v>
      </c>
      <c r="L2" s="4">
        <v>3.1</v>
      </c>
      <c r="M2">
        <v>658832.62</v>
      </c>
      <c r="N2">
        <v>84349.93</v>
      </c>
      <c r="P2" s="5"/>
      <c r="Q2" s="5"/>
    </row>
    <row r="3" spans="1:17">
      <c r="A3" t="s">
        <v>14</v>
      </c>
      <c r="B3" s="2">
        <v>45689</v>
      </c>
      <c r="C3" t="s">
        <v>15</v>
      </c>
      <c r="D3" t="s">
        <v>16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>
        <v>0</v>
      </c>
      <c r="L3" s="4">
        <v>2.8</v>
      </c>
      <c r="M3">
        <v>634436</v>
      </c>
      <c r="N3">
        <v>106130.54</v>
      </c>
      <c r="P3" s="5" t="s">
        <v>106</v>
      </c>
      <c r="Q3" s="5"/>
    </row>
    <row r="4" spans="1:17">
      <c r="A4" t="s">
        <v>14</v>
      </c>
      <c r="B4" s="2">
        <v>45717</v>
      </c>
      <c r="C4" t="s">
        <v>15</v>
      </c>
      <c r="D4" t="s">
        <v>16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>
        <v>0</v>
      </c>
      <c r="L4" s="4">
        <v>3.2</v>
      </c>
      <c r="M4">
        <v>678722.06</v>
      </c>
      <c r="N4">
        <v>101883.86</v>
      </c>
      <c r="P4" s="5" t="s">
        <v>103</v>
      </c>
      <c r="Q4" s="5">
        <v>8</v>
      </c>
    </row>
    <row r="5" spans="1:17">
      <c r="A5" t="s">
        <v>14</v>
      </c>
      <c r="B5" s="2">
        <v>45748</v>
      </c>
      <c r="C5" t="s">
        <v>15</v>
      </c>
      <c r="D5" t="s">
        <v>16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>
        <v>0</v>
      </c>
      <c r="L5" s="4">
        <v>3.4</v>
      </c>
      <c r="M5">
        <v>658920.30000000005</v>
      </c>
      <c r="N5">
        <v>97910.37</v>
      </c>
      <c r="P5" s="5" t="s">
        <v>102</v>
      </c>
      <c r="Q5" s="5">
        <v>6</v>
      </c>
    </row>
    <row r="6" spans="1:17">
      <c r="A6" t="s">
        <v>17</v>
      </c>
      <c r="B6" s="2">
        <v>45658</v>
      </c>
      <c r="C6" t="s">
        <v>15</v>
      </c>
      <c r="D6" t="s">
        <v>18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>
        <v>1</v>
      </c>
      <c r="L6" s="4">
        <v>4.2</v>
      </c>
      <c r="M6">
        <v>741341.44</v>
      </c>
      <c r="N6">
        <v>119208.17</v>
      </c>
      <c r="P6" s="5"/>
      <c r="Q6" s="5"/>
    </row>
    <row r="7" spans="1:17">
      <c r="A7" t="s">
        <v>17</v>
      </c>
      <c r="B7" s="2">
        <v>45689</v>
      </c>
      <c r="C7" t="s">
        <v>15</v>
      </c>
      <c r="D7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>
        <v>0</v>
      </c>
      <c r="L7" s="4">
        <v>4.2</v>
      </c>
      <c r="M7">
        <v>761835.34</v>
      </c>
      <c r="N7">
        <v>149602.23000000001</v>
      </c>
      <c r="P7" s="5" t="s">
        <v>104</v>
      </c>
      <c r="Q7" s="5">
        <v>0</v>
      </c>
    </row>
    <row r="8" spans="1:17">
      <c r="A8" t="s">
        <v>17</v>
      </c>
      <c r="B8" s="2">
        <v>45717</v>
      </c>
      <c r="C8" t="s">
        <v>15</v>
      </c>
      <c r="D8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>
        <v>1</v>
      </c>
      <c r="L8" s="4">
        <v>4.0999999999999996</v>
      </c>
      <c r="M8">
        <v>806615.54</v>
      </c>
      <c r="N8">
        <v>131364.62</v>
      </c>
    </row>
    <row r="9" spans="1:17">
      <c r="A9" t="s">
        <v>17</v>
      </c>
      <c r="B9" s="2">
        <v>45748</v>
      </c>
      <c r="C9" t="s">
        <v>15</v>
      </c>
      <c r="D9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>
        <v>0</v>
      </c>
      <c r="L9" s="4">
        <v>3.9</v>
      </c>
      <c r="M9">
        <v>850164.26</v>
      </c>
      <c r="N9">
        <v>149262.75</v>
      </c>
    </row>
    <row r="10" spans="1:17">
      <c r="A10" t="s">
        <v>19</v>
      </c>
      <c r="B10" s="2">
        <v>45658</v>
      </c>
      <c r="C10" t="s">
        <v>20</v>
      </c>
      <c r="D10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>
        <v>1</v>
      </c>
      <c r="L10" s="4">
        <v>3.8</v>
      </c>
      <c r="M10">
        <v>930581.7</v>
      </c>
      <c r="N10">
        <v>136207.98000000001</v>
      </c>
    </row>
    <row r="11" spans="1:17">
      <c r="A11" t="s">
        <v>19</v>
      </c>
      <c r="B11" s="2">
        <v>45689</v>
      </c>
      <c r="C11" t="s">
        <v>20</v>
      </c>
      <c r="D11" t="s">
        <v>21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>
        <v>0</v>
      </c>
      <c r="L11" s="4">
        <v>4.2</v>
      </c>
      <c r="M11">
        <v>779010.94</v>
      </c>
      <c r="N11">
        <v>106328.09</v>
      </c>
    </row>
    <row r="12" spans="1:17">
      <c r="A12" t="s">
        <v>19</v>
      </c>
      <c r="B12" s="2">
        <v>45717</v>
      </c>
      <c r="C12" t="s">
        <v>20</v>
      </c>
      <c r="D12" t="s">
        <v>21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>
        <v>1</v>
      </c>
      <c r="L12" s="4">
        <v>3.8</v>
      </c>
      <c r="M12">
        <v>723060.76</v>
      </c>
      <c r="N12">
        <v>123131.24</v>
      </c>
    </row>
    <row r="13" spans="1:17">
      <c r="A13" t="s">
        <v>19</v>
      </c>
      <c r="B13" s="2">
        <v>45748</v>
      </c>
      <c r="C13" t="s">
        <v>20</v>
      </c>
      <c r="D13" t="s">
        <v>21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>
        <v>0</v>
      </c>
      <c r="L13" s="4">
        <v>3.8</v>
      </c>
      <c r="M13">
        <v>910791.94</v>
      </c>
      <c r="N13">
        <v>158891.28</v>
      </c>
    </row>
    <row r="14" spans="1:17">
      <c r="A14" t="s">
        <v>22</v>
      </c>
      <c r="B14" s="2">
        <v>45658</v>
      </c>
      <c r="C14" t="s">
        <v>15</v>
      </c>
      <c r="D14" t="s">
        <v>16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>
        <v>1</v>
      </c>
      <c r="L14" s="4">
        <v>4.2</v>
      </c>
      <c r="M14">
        <v>922168.6</v>
      </c>
      <c r="N14">
        <v>107494.53</v>
      </c>
    </row>
    <row r="15" spans="1:17">
      <c r="A15" t="s">
        <v>22</v>
      </c>
      <c r="B15" s="2">
        <v>45689</v>
      </c>
      <c r="C15" t="s">
        <v>15</v>
      </c>
      <c r="D15" t="s">
        <v>16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>
        <v>0</v>
      </c>
      <c r="L15" s="4">
        <v>4.3</v>
      </c>
      <c r="M15">
        <v>726606.28</v>
      </c>
      <c r="N15">
        <v>122729.29</v>
      </c>
    </row>
    <row r="16" spans="1:17">
      <c r="A16" t="s">
        <v>22</v>
      </c>
      <c r="B16" s="2">
        <v>45717</v>
      </c>
      <c r="C16" t="s">
        <v>15</v>
      </c>
      <c r="D16" t="s">
        <v>16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>
        <v>0</v>
      </c>
      <c r="L16" s="4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>
        <v>0</v>
      </c>
      <c r="L17" s="4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>
        <v>0</v>
      </c>
      <c r="L18" s="4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>
        <v>0</v>
      </c>
      <c r="L19" s="4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>
        <v>0</v>
      </c>
      <c r="L20" s="4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>
        <v>0</v>
      </c>
      <c r="L21" s="4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>
        <v>0</v>
      </c>
      <c r="L22" s="4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>
        <v>0</v>
      </c>
      <c r="L23" s="4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>
        <v>1</v>
      </c>
      <c r="L24" s="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>
        <v>0</v>
      </c>
      <c r="L25" s="4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>
        <v>0</v>
      </c>
      <c r="L26" s="4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>
        <v>0</v>
      </c>
      <c r="L27" s="4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>
        <v>0</v>
      </c>
      <c r="L28" s="4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>
        <v>0</v>
      </c>
      <c r="L29" s="4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>
        <v>0</v>
      </c>
      <c r="L30" s="4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>
        <v>0</v>
      </c>
      <c r="L31" s="4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>
        <v>1</v>
      </c>
      <c r="L32" s="4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>
        <v>0</v>
      </c>
      <c r="L33" s="4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>
        <v>0</v>
      </c>
      <c r="L34" s="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>
        <v>0</v>
      </c>
      <c r="L36" s="4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>
        <v>0</v>
      </c>
      <c r="L37" s="4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>
        <v>1</v>
      </c>
      <c r="L38" s="4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>
        <v>0</v>
      </c>
      <c r="L39" s="4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>
        <v>0</v>
      </c>
      <c r="L40" s="4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>
        <v>0</v>
      </c>
      <c r="L41" s="4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>
        <v>0</v>
      </c>
      <c r="L42" s="4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>
        <v>0</v>
      </c>
      <c r="L43" s="4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>
        <v>1</v>
      </c>
      <c r="L44" s="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>
        <v>0</v>
      </c>
      <c r="L45" s="4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>
        <v>0</v>
      </c>
      <c r="L46" s="4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>
        <v>0</v>
      </c>
      <c r="L47" s="4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>
        <v>1</v>
      </c>
      <c r="L48" s="4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>
        <v>0</v>
      </c>
      <c r="L49" s="4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>
        <v>1</v>
      </c>
      <c r="L50" s="4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>
        <v>0</v>
      </c>
      <c r="L51" s="4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>
        <v>0</v>
      </c>
      <c r="L52" s="4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>
        <v>0</v>
      </c>
      <c r="L53" s="4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>
        <v>0</v>
      </c>
      <c r="L54" s="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>
        <v>0</v>
      </c>
      <c r="L55" s="4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>
        <v>0</v>
      </c>
      <c r="L56" s="4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>
        <v>0</v>
      </c>
      <c r="L57" s="4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>
        <v>0</v>
      </c>
      <c r="L58" s="4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>
        <v>0</v>
      </c>
      <c r="L59" s="4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>
        <v>0</v>
      </c>
      <c r="L60" s="4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>
        <v>0</v>
      </c>
      <c r="L61" s="4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>
        <v>0</v>
      </c>
      <c r="L62" s="4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>
        <v>0</v>
      </c>
      <c r="L63" s="4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>
        <v>0</v>
      </c>
      <c r="L64" s="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>
        <v>0</v>
      </c>
      <c r="L65" s="4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>
        <v>1</v>
      </c>
      <c r="L66" s="4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>
        <v>0</v>
      </c>
      <c r="L67" s="4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>
        <v>1</v>
      </c>
      <c r="L68" s="4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>
        <v>0</v>
      </c>
      <c r="L69" s="4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>
        <v>1</v>
      </c>
      <c r="L70" s="4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>
        <v>0</v>
      </c>
      <c r="L71" s="4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>
        <v>0</v>
      </c>
      <c r="L72" s="4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K73">
        <v>0</v>
      </c>
      <c r="L73" s="4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>
        <v>0</v>
      </c>
      <c r="L74" s="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>
        <v>0</v>
      </c>
      <c r="L75" s="4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>
        <v>1</v>
      </c>
      <c r="L76" s="4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>
        <v>0</v>
      </c>
      <c r="L77" s="4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>
        <v>1</v>
      </c>
      <c r="L78" s="4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>
        <v>0</v>
      </c>
      <c r="L79" s="4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>
        <v>0</v>
      </c>
      <c r="L80" s="4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>
        <v>0</v>
      </c>
      <c r="L81" s="4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>
        <v>0</v>
      </c>
      <c r="L82" s="4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>
        <v>0</v>
      </c>
      <c r="L83" s="4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>
        <v>0</v>
      </c>
      <c r="L84" s="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>
        <v>0</v>
      </c>
      <c r="L85" s="4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>
        <v>0</v>
      </c>
      <c r="L86" s="4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>
        <v>0</v>
      </c>
      <c r="L88" s="4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>
        <v>0</v>
      </c>
      <c r="L89" s="4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>
        <v>1</v>
      </c>
      <c r="L90" s="4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>
        <v>0</v>
      </c>
      <c r="L91" s="4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>
        <v>0</v>
      </c>
      <c r="L92" s="4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>
        <v>0</v>
      </c>
      <c r="L93" s="4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>
        <v>0</v>
      </c>
      <c r="L94" s="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>
        <v>0</v>
      </c>
      <c r="L95" s="4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>
        <v>0</v>
      </c>
      <c r="L96" s="4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>
        <v>0</v>
      </c>
      <c r="L97" s="4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>
        <v>0</v>
      </c>
      <c r="L98" s="4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>
        <v>0</v>
      </c>
      <c r="L99" s="4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K100">
        <v>0</v>
      </c>
      <c r="L100" s="4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>
        <v>0</v>
      </c>
      <c r="L101" s="4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>
        <v>0</v>
      </c>
      <c r="L102" s="4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>
        <v>0</v>
      </c>
      <c r="L103" s="4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>
        <v>1</v>
      </c>
      <c r="L104" s="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>
        <v>0</v>
      </c>
      <c r="L105" s="4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>
        <v>0</v>
      </c>
      <c r="L106" s="4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>
        <v>0</v>
      </c>
      <c r="L107" s="4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>
        <v>0</v>
      </c>
      <c r="L108" s="4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>
        <v>0</v>
      </c>
      <c r="L109" s="4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>
        <v>1</v>
      </c>
      <c r="L110" s="4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>
        <v>0</v>
      </c>
      <c r="L111" s="4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>
        <v>0</v>
      </c>
      <c r="L112" s="4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>
        <v>0</v>
      </c>
      <c r="L113" s="4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>
        <v>0</v>
      </c>
      <c r="L114" s="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>
        <v>0</v>
      </c>
      <c r="L115" s="4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>
        <v>0</v>
      </c>
      <c r="L116" s="4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>
        <v>0</v>
      </c>
      <c r="L117" s="4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>
        <v>1</v>
      </c>
      <c r="L118" s="4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>
        <v>0</v>
      </c>
      <c r="L119" s="4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>
        <v>0</v>
      </c>
      <c r="L120" s="4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>
        <v>0</v>
      </c>
      <c r="L121" s="4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>
        <v>0</v>
      </c>
      <c r="L122" s="4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>
        <v>0</v>
      </c>
      <c r="L123" s="4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>
        <v>0</v>
      </c>
      <c r="L124" s="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>
        <v>0</v>
      </c>
      <c r="L125" s="4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>
        <v>1</v>
      </c>
      <c r="L126" s="4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>
        <v>0</v>
      </c>
      <c r="L127" s="4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>
        <v>1</v>
      </c>
      <c r="L128" s="4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>
        <v>0</v>
      </c>
      <c r="L129" s="4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>
        <v>1</v>
      </c>
      <c r="L130" s="4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>
        <v>0</v>
      </c>
      <c r="L131" s="4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>
        <v>1</v>
      </c>
      <c r="L132" s="4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>
        <v>0</v>
      </c>
      <c r="L133" s="4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>
        <v>0</v>
      </c>
      <c r="L134" s="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>
        <v>1</v>
      </c>
      <c r="L136" s="4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>
        <v>0</v>
      </c>
      <c r="L137" s="4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>
        <v>0</v>
      </c>
      <c r="L139" s="4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>
        <v>1</v>
      </c>
      <c r="L140" s="4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>
        <v>0</v>
      </c>
      <c r="L141" s="4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>
        <v>0</v>
      </c>
      <c r="L142" s="4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>
        <v>0</v>
      </c>
      <c r="L143" s="4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>
        <v>0</v>
      </c>
      <c r="L144" s="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>
        <v>0</v>
      </c>
      <c r="L145" s="4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>
        <v>0</v>
      </c>
      <c r="L146" s="4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>
        <v>0</v>
      </c>
      <c r="L147" s="4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>
        <v>0</v>
      </c>
      <c r="L148" s="4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>
        <v>0</v>
      </c>
      <c r="L149" s="4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>
        <v>0</v>
      </c>
      <c r="L150" s="4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>
        <v>0</v>
      </c>
      <c r="L151" s="4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>
        <v>1</v>
      </c>
      <c r="L152" s="4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>
        <v>0</v>
      </c>
      <c r="L153" s="4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>
        <v>0</v>
      </c>
      <c r="L154" s="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>
        <v>0</v>
      </c>
      <c r="L155" s="4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>
        <v>0</v>
      </c>
      <c r="L156" s="4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>
        <v>0</v>
      </c>
      <c r="L157" s="4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>
        <v>0</v>
      </c>
      <c r="L158" s="4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>
        <v>0</v>
      </c>
      <c r="L159" s="4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>
        <v>0</v>
      </c>
      <c r="L160" s="4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>
        <v>0</v>
      </c>
      <c r="L161" s="4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>
        <v>0</v>
      </c>
      <c r="L162" s="4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>
        <v>0</v>
      </c>
      <c r="L163" s="4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K164">
        <v>0</v>
      </c>
      <c r="L164" s="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>
        <v>0</v>
      </c>
      <c r="L165" s="4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>
        <v>1</v>
      </c>
      <c r="L166" s="4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>
        <v>0</v>
      </c>
      <c r="L167" s="4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>
        <v>0</v>
      </c>
      <c r="L168" s="4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>
        <v>0</v>
      </c>
      <c r="L169" s="4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>
        <v>0</v>
      </c>
      <c r="L170" s="4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>
        <v>0</v>
      </c>
      <c r="L171" s="4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>
        <v>0</v>
      </c>
      <c r="L172" s="4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>
        <v>0</v>
      </c>
      <c r="L173" s="4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>
        <v>0</v>
      </c>
      <c r="L174" s="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>
        <v>0</v>
      </c>
      <c r="L175" s="4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>
        <v>0</v>
      </c>
      <c r="L176" s="4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>
        <v>0</v>
      </c>
      <c r="L177" s="4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>
        <v>1</v>
      </c>
      <c r="L178" s="4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>
        <v>0</v>
      </c>
      <c r="L179" s="4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>
        <v>0</v>
      </c>
      <c r="L180" s="4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>
        <v>0</v>
      </c>
      <c r="L181" s="4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>
        <v>1</v>
      </c>
      <c r="L182" s="4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>
        <v>0</v>
      </c>
      <c r="L183" s="4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>
        <v>1</v>
      </c>
      <c r="L184" s="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>
        <v>0</v>
      </c>
      <c r="L185" s="4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>
        <v>0</v>
      </c>
      <c r="L186" s="4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>
        <v>0</v>
      </c>
      <c r="L187" s="4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>
        <v>1</v>
      </c>
      <c r="L188" s="4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>
        <v>0</v>
      </c>
      <c r="L189" s="4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>
        <v>0</v>
      </c>
      <c r="L190" s="4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>
        <v>0</v>
      </c>
      <c r="L191" s="4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>
        <v>0</v>
      </c>
      <c r="L192" s="4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>
        <v>0</v>
      </c>
      <c r="L193" s="4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>
        <v>0</v>
      </c>
      <c r="L194" s="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>
        <v>0</v>
      </c>
      <c r="L195" s="4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>
        <v>0</v>
      </c>
      <c r="L196" s="4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>
        <v>0</v>
      </c>
      <c r="L198" s="4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>
        <v>0</v>
      </c>
      <c r="L199" s="4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>
        <v>1</v>
      </c>
      <c r="L200" s="4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>
        <v>0</v>
      </c>
      <c r="L201" s="4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>
        <v>1</v>
      </c>
      <c r="L202" s="4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>
        <v>0</v>
      </c>
      <c r="L203" s="4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>
        <v>1</v>
      </c>
      <c r="L204" s="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>
        <v>0</v>
      </c>
      <c r="L205" s="4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>
        <v>0</v>
      </c>
      <c r="L206" s="4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>
        <v>0</v>
      </c>
      <c r="L207" s="4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>
        <v>0</v>
      </c>
      <c r="L208" s="4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>
        <v>0</v>
      </c>
      <c r="L209" s="4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>
        <v>1</v>
      </c>
      <c r="L210" s="4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>
        <v>0</v>
      </c>
      <c r="L211" s="4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>
        <v>1</v>
      </c>
      <c r="L212" s="4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>
        <v>0</v>
      </c>
      <c r="L213" s="4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>
        <v>0</v>
      </c>
      <c r="L214" s="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>
        <v>0</v>
      </c>
      <c r="L215" s="4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>
        <v>0</v>
      </c>
      <c r="L216" s="4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>
        <v>0</v>
      </c>
      <c r="L217" s="4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>
        <v>0</v>
      </c>
      <c r="L218" s="4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>
        <v>0</v>
      </c>
      <c r="L219" s="4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>
        <v>0</v>
      </c>
      <c r="L220" s="4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>
        <v>0</v>
      </c>
      <c r="L221" s="4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>
        <v>1</v>
      </c>
      <c r="L222" s="4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>
        <v>0</v>
      </c>
      <c r="L223" s="4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>
        <v>0</v>
      </c>
      <c r="L224" s="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>
        <v>0</v>
      </c>
      <c r="L225" s="4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>
        <v>1</v>
      </c>
      <c r="L226" s="4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>
        <v>0</v>
      </c>
      <c r="L227" s="4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>
        <v>0</v>
      </c>
      <c r="L228" s="4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>
        <v>0</v>
      </c>
      <c r="L230" s="4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>
        <v>0</v>
      </c>
      <c r="L231" s="4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>
        <v>0</v>
      </c>
      <c r="L232" s="4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K233">
        <v>0</v>
      </c>
      <c r="L233" s="4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>
        <v>0</v>
      </c>
      <c r="L234" s="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>
        <v>0</v>
      </c>
      <c r="L235" s="4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>
        <v>0</v>
      </c>
      <c r="L236" s="4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>
        <v>0</v>
      </c>
      <c r="L237" s="4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>
        <v>0</v>
      </c>
      <c r="L238" s="4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>
        <v>0</v>
      </c>
      <c r="L239" s="4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>
        <v>0</v>
      </c>
      <c r="L240" s="4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>
        <v>0</v>
      </c>
      <c r="L241" s="4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>
        <v>1</v>
      </c>
      <c r="L242" s="4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>
        <v>0</v>
      </c>
      <c r="L243" s="4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>
        <v>0</v>
      </c>
      <c r="L244" s="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>
        <v>0</v>
      </c>
      <c r="L245" s="4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>
        <v>0</v>
      </c>
      <c r="L246" s="4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>
        <v>0</v>
      </c>
      <c r="L247" s="4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>
        <v>0</v>
      </c>
      <c r="L248" s="4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>
        <v>0</v>
      </c>
      <c r="L249" s="4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K250">
        <v>0</v>
      </c>
      <c r="L250" s="4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>
        <v>0</v>
      </c>
      <c r="L251" s="4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>
        <v>0</v>
      </c>
      <c r="L252" s="4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>
        <v>0</v>
      </c>
      <c r="L253" s="4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>
        <v>0</v>
      </c>
      <c r="L254" s="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>
        <v>0</v>
      </c>
      <c r="L255" s="4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>
        <v>0</v>
      </c>
      <c r="L256" s="4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>
        <v>0</v>
      </c>
      <c r="L257" s="4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>
        <v>1</v>
      </c>
      <c r="L258" s="4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>
        <v>0</v>
      </c>
      <c r="L259" s="4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>
        <v>0</v>
      </c>
      <c r="L260" s="4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>
        <v>0</v>
      </c>
      <c r="L261" s="4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>
        <v>0</v>
      </c>
      <c r="L262" s="4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K263">
        <v>0</v>
      </c>
      <c r="L263" s="4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>
        <v>1</v>
      </c>
      <c r="L264" s="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>
        <v>0</v>
      </c>
      <c r="L265" s="4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>
        <v>0</v>
      </c>
      <c r="L266" s="4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>
        <v>0</v>
      </c>
      <c r="L267" s="4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>
        <v>0</v>
      </c>
      <c r="L268" s="4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>
        <v>0</v>
      </c>
      <c r="L269" s="4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>
        <v>0</v>
      </c>
      <c r="L270" s="4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>
        <v>0</v>
      </c>
      <c r="L271" s="4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>
        <v>1</v>
      </c>
      <c r="L272" s="4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>
        <v>0</v>
      </c>
      <c r="L273" s="4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>
        <v>0</v>
      </c>
      <c r="L274" s="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>
        <v>0</v>
      </c>
      <c r="L275" s="4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>
        <v>0</v>
      </c>
      <c r="L276" s="4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>
        <v>0</v>
      </c>
      <c r="L277" s="4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>
        <v>1</v>
      </c>
      <c r="L278" s="4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>
        <v>0</v>
      </c>
      <c r="L279" s="4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>
        <v>0</v>
      </c>
      <c r="L280" s="4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>
        <v>0</v>
      </c>
      <c r="L281" s="4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>
        <v>1</v>
      </c>
      <c r="L282" s="4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>
        <v>0</v>
      </c>
      <c r="L283" s="4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>
        <v>0</v>
      </c>
      <c r="L284" s="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>
        <v>0</v>
      </c>
      <c r="L285" s="4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>
        <v>1</v>
      </c>
      <c r="L286" s="4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>
        <v>0</v>
      </c>
      <c r="L287" s="4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>
        <v>1</v>
      </c>
      <c r="L288" s="4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>
        <v>0</v>
      </c>
      <c r="L289" s="4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>
        <v>0</v>
      </c>
      <c r="L290" s="4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>
        <v>0</v>
      </c>
      <c r="L291" s="4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>
        <v>1</v>
      </c>
      <c r="L292" s="4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>
        <v>0</v>
      </c>
      <c r="L293" s="4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>
        <v>0</v>
      </c>
      <c r="L294" s="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>
        <v>0</v>
      </c>
      <c r="L295" s="4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>
        <v>0</v>
      </c>
      <c r="L296" s="4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>
        <v>0</v>
      </c>
      <c r="L297" s="4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>
        <v>0</v>
      </c>
      <c r="L298" s="4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>
        <v>0</v>
      </c>
      <c r="L299" s="4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>
        <v>0</v>
      </c>
      <c r="L300" s="4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>
        <v>0</v>
      </c>
      <c r="L301" s="4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>
        <v>1</v>
      </c>
      <c r="L302" s="4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>
        <v>0</v>
      </c>
      <c r="L303" s="4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>
        <v>1</v>
      </c>
      <c r="L304" s="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>
        <v>0</v>
      </c>
      <c r="L305" s="4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>
        <v>0</v>
      </c>
      <c r="L306" s="4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>
        <v>0</v>
      </c>
      <c r="L307" s="4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>
        <v>1</v>
      </c>
      <c r="L308" s="4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>
        <v>0</v>
      </c>
      <c r="L309" s="4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>
        <v>0</v>
      </c>
      <c r="L310" s="4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>
        <v>0</v>
      </c>
      <c r="L311" s="4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>
        <v>0</v>
      </c>
      <c r="L312" s="4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>
        <v>0</v>
      </c>
      <c r="L314" s="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>
        <v>1</v>
      </c>
      <c r="L316" s="4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>
        <v>0</v>
      </c>
      <c r="L317" s="4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>
        <v>1</v>
      </c>
      <c r="L318" s="4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>
        <v>0</v>
      </c>
      <c r="L319" s="4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>
        <v>1</v>
      </c>
      <c r="L320" s="4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>
        <v>0</v>
      </c>
      <c r="L321" s="4">
        <v>4.0999999999999996</v>
      </c>
      <c r="M321">
        <v>559660.84</v>
      </c>
      <c r="N321">
        <v>71443.61</v>
      </c>
    </row>
  </sheetData>
  <autoFilter ref="A1:N321" xr:uid="{834CB160-FA5C-454C-8921-3AACC28667F4}"/>
  <mergeCells count="1">
    <mergeCell ref="P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CF4C-6A27-4BF4-AE00-99F6607CF1D0}">
  <dimension ref="A1:T321"/>
  <sheetViews>
    <sheetView topLeftCell="C1" workbookViewId="0">
      <selection activeCell="M13" sqref="M13"/>
    </sheetView>
  </sheetViews>
  <sheetFormatPr defaultRowHeight="15"/>
  <cols>
    <col min="4" max="4" width="13.7109375" bestFit="1" customWidth="1"/>
  </cols>
  <sheetData>
    <row r="1" spans="1:20" ht="6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>
        <v>1</v>
      </c>
      <c r="L2" s="4">
        <v>3.1</v>
      </c>
      <c r="M2">
        <v>658832.62</v>
      </c>
      <c r="N2">
        <v>84349.93</v>
      </c>
      <c r="O2">
        <f>IF(C2="North",1,0)</f>
        <v>0</v>
      </c>
      <c r="P2">
        <f>IF(C2="South",1,0)</f>
        <v>0</v>
      </c>
      <c r="Q2">
        <f>IF(C2="West",1,0)</f>
        <v>0</v>
      </c>
      <c r="R2">
        <f>IF(D2="Airport",1,0)</f>
        <v>0</v>
      </c>
      <c r="S2">
        <f>IF(D2="Mall",1,0)</f>
        <v>0</v>
      </c>
      <c r="T2">
        <f>IF(D2="Residential",1,0)</f>
        <v>1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>
        <v>0</v>
      </c>
      <c r="L3" s="4">
        <v>2.8</v>
      </c>
      <c r="M3">
        <v>634436</v>
      </c>
      <c r="N3">
        <v>106130.54</v>
      </c>
      <c r="O3">
        <f t="shared" ref="O3:O66" si="0">IF(C3="North",1,0)</f>
        <v>0</v>
      </c>
      <c r="P3">
        <f t="shared" ref="P3:P66" si="1">IF(C3="South",1,0)</f>
        <v>0</v>
      </c>
      <c r="Q3">
        <f t="shared" ref="Q3:Q66" si="2">IF(C3="West",1,0)</f>
        <v>0</v>
      </c>
      <c r="R3">
        <f t="shared" ref="R3:R66" si="3">IF(D3="Airport",1,0)</f>
        <v>0</v>
      </c>
      <c r="S3">
        <f t="shared" ref="S3:S66" si="4">IF(D3="Mall",1,0)</f>
        <v>0</v>
      </c>
      <c r="T3">
        <f t="shared" ref="T3:T66" si="5">IF(D3="Residential",1,0)</f>
        <v>1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>
        <v>0</v>
      </c>
      <c r="L4" s="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5"/>
        <v>1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>
        <v>0</v>
      </c>
      <c r="L5" s="4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1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>
        <v>1</v>
      </c>
      <c r="L6" s="4">
        <v>4.2</v>
      </c>
      <c r="M6">
        <v>741341.44</v>
      </c>
      <c r="N6">
        <v>119208.17</v>
      </c>
      <c r="O6">
        <f t="shared" si="0"/>
        <v>0</v>
      </c>
      <c r="P6">
        <f t="shared" si="1"/>
        <v>0</v>
      </c>
      <c r="Q6">
        <f t="shared" si="2"/>
        <v>0</v>
      </c>
      <c r="R6">
        <f t="shared" si="3"/>
        <v>0</v>
      </c>
      <c r="S6">
        <f t="shared" si="4"/>
        <v>0</v>
      </c>
      <c r="T6">
        <f t="shared" si="5"/>
        <v>0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>
        <v>0</v>
      </c>
      <c r="L7" s="4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0</v>
      </c>
      <c r="Q7">
        <f t="shared" si="2"/>
        <v>0</v>
      </c>
      <c r="R7">
        <f t="shared" si="3"/>
        <v>0</v>
      </c>
      <c r="S7">
        <f t="shared" si="4"/>
        <v>0</v>
      </c>
      <c r="T7">
        <f t="shared" si="5"/>
        <v>0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>
        <v>1</v>
      </c>
      <c r="L8" s="4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0</v>
      </c>
      <c r="Q8">
        <f t="shared" si="2"/>
        <v>0</v>
      </c>
      <c r="R8">
        <f t="shared" si="3"/>
        <v>0</v>
      </c>
      <c r="S8">
        <f t="shared" si="4"/>
        <v>0</v>
      </c>
      <c r="T8">
        <f t="shared" si="5"/>
        <v>0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>
        <v>0</v>
      </c>
      <c r="L9" s="4">
        <v>3.9</v>
      </c>
      <c r="M9">
        <v>850164.26</v>
      </c>
      <c r="N9">
        <v>149262.75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0</v>
      </c>
      <c r="S9">
        <f t="shared" si="4"/>
        <v>0</v>
      </c>
      <c r="T9">
        <f t="shared" si="5"/>
        <v>0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>
        <v>1</v>
      </c>
      <c r="L10" s="4">
        <v>3.8</v>
      </c>
      <c r="M10">
        <v>930581.7</v>
      </c>
      <c r="N10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  <c r="R10">
        <f t="shared" si="3"/>
        <v>1</v>
      </c>
      <c r="S10">
        <f t="shared" si="4"/>
        <v>0</v>
      </c>
      <c r="T10">
        <f t="shared" si="5"/>
        <v>0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>
        <v>0</v>
      </c>
      <c r="L11" s="4">
        <v>4.2</v>
      </c>
      <c r="M11">
        <v>779010.94</v>
      </c>
      <c r="N11">
        <v>106328.09</v>
      </c>
      <c r="O11">
        <f t="shared" si="0"/>
        <v>1</v>
      </c>
      <c r="P11">
        <f t="shared" si="1"/>
        <v>0</v>
      </c>
      <c r="Q11">
        <f t="shared" si="2"/>
        <v>0</v>
      </c>
      <c r="R11">
        <f t="shared" si="3"/>
        <v>1</v>
      </c>
      <c r="S11">
        <f t="shared" si="4"/>
        <v>0</v>
      </c>
      <c r="T11">
        <f t="shared" si="5"/>
        <v>0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>
        <v>1</v>
      </c>
      <c r="L12" s="4">
        <v>3.8</v>
      </c>
      <c r="M12">
        <v>723060.76</v>
      </c>
      <c r="N12">
        <v>123131.24</v>
      </c>
      <c r="O12">
        <f t="shared" si="0"/>
        <v>1</v>
      </c>
      <c r="P12">
        <f t="shared" si="1"/>
        <v>0</v>
      </c>
      <c r="Q12">
        <f t="shared" si="2"/>
        <v>0</v>
      </c>
      <c r="R12">
        <f t="shared" si="3"/>
        <v>1</v>
      </c>
      <c r="S12">
        <f t="shared" si="4"/>
        <v>0</v>
      </c>
      <c r="T12">
        <f t="shared" si="5"/>
        <v>0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>
        <v>0</v>
      </c>
      <c r="L13" s="4">
        <v>3.8</v>
      </c>
      <c r="M13">
        <v>910791.94</v>
      </c>
      <c r="N13">
        <v>158891.28</v>
      </c>
      <c r="O13">
        <f t="shared" si="0"/>
        <v>1</v>
      </c>
      <c r="P13">
        <f t="shared" si="1"/>
        <v>0</v>
      </c>
      <c r="Q13">
        <f t="shared" si="2"/>
        <v>0</v>
      </c>
      <c r="R13">
        <f t="shared" si="3"/>
        <v>1</v>
      </c>
      <c r="S13">
        <f t="shared" si="4"/>
        <v>0</v>
      </c>
      <c r="T13">
        <f t="shared" si="5"/>
        <v>0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>
        <v>1</v>
      </c>
      <c r="L14" s="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1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>
        <v>0</v>
      </c>
      <c r="L15" s="4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0</v>
      </c>
      <c r="S15">
        <f t="shared" si="4"/>
        <v>0</v>
      </c>
      <c r="T15">
        <f t="shared" si="5"/>
        <v>1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>
        <v>0</v>
      </c>
      <c r="L16" s="4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0</v>
      </c>
      <c r="R16">
        <f t="shared" si="3"/>
        <v>0</v>
      </c>
      <c r="S16">
        <f t="shared" si="4"/>
        <v>0</v>
      </c>
      <c r="T16">
        <f t="shared" si="5"/>
        <v>1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>
        <v>0</v>
      </c>
      <c r="L17" s="4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0</v>
      </c>
      <c r="T17">
        <f t="shared" si="5"/>
        <v>1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>
        <v>0</v>
      </c>
      <c r="L18" s="4">
        <v>3.7</v>
      </c>
      <c r="M18">
        <v>666152.52</v>
      </c>
      <c r="N18">
        <v>107490.58</v>
      </c>
      <c r="O18">
        <f t="shared" si="0"/>
        <v>0</v>
      </c>
      <c r="P18">
        <f t="shared" si="1"/>
        <v>1</v>
      </c>
      <c r="Q18">
        <f t="shared" si="2"/>
        <v>0</v>
      </c>
      <c r="R18">
        <f t="shared" si="3"/>
        <v>0</v>
      </c>
      <c r="S18">
        <f t="shared" si="4"/>
        <v>0</v>
      </c>
      <c r="T18">
        <f t="shared" si="5"/>
        <v>1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>
        <v>0</v>
      </c>
      <c r="L19" s="4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1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1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>
        <v>0</v>
      </c>
      <c r="L20" s="4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  <c r="R20">
        <f t="shared" si="3"/>
        <v>0</v>
      </c>
      <c r="S20">
        <f t="shared" si="4"/>
        <v>0</v>
      </c>
      <c r="T20">
        <f t="shared" si="5"/>
        <v>1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>
        <v>0</v>
      </c>
      <c r="L21" s="4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1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1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>
        <v>0</v>
      </c>
      <c r="L22" s="4">
        <v>5</v>
      </c>
      <c r="M22">
        <v>415721.82</v>
      </c>
      <c r="N22">
        <v>61179.15</v>
      </c>
      <c r="O22">
        <f t="shared" si="0"/>
        <v>1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0</v>
      </c>
      <c r="T22">
        <f t="shared" si="5"/>
        <v>1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>
        <v>0</v>
      </c>
      <c r="L23" s="4">
        <v>5</v>
      </c>
      <c r="M23">
        <v>491905.13</v>
      </c>
      <c r="N23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1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>
        <v>1</v>
      </c>
      <c r="L24" s="4">
        <v>4.5999999999999996</v>
      </c>
      <c r="M24">
        <v>555929.4</v>
      </c>
      <c r="N24">
        <v>115201.76</v>
      </c>
      <c r="O24">
        <f t="shared" si="0"/>
        <v>1</v>
      </c>
      <c r="P24">
        <f t="shared" si="1"/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1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>
        <v>0</v>
      </c>
      <c r="L25" s="4">
        <v>4.7</v>
      </c>
      <c r="M25">
        <v>565810.99</v>
      </c>
      <c r="N25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1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>
        <v>0</v>
      </c>
      <c r="L26" s="4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1</v>
      </c>
      <c r="R26">
        <f t="shared" si="3"/>
        <v>0</v>
      </c>
      <c r="S26">
        <f t="shared" si="4"/>
        <v>1</v>
      </c>
      <c r="T26">
        <f t="shared" si="5"/>
        <v>0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>
        <v>0</v>
      </c>
      <c r="L27" s="4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1</v>
      </c>
      <c r="R27">
        <f t="shared" si="3"/>
        <v>0</v>
      </c>
      <c r="S27">
        <f t="shared" si="4"/>
        <v>1</v>
      </c>
      <c r="T27">
        <f t="shared" si="5"/>
        <v>0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>
        <v>0</v>
      </c>
      <c r="L28" s="4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1</v>
      </c>
      <c r="R28">
        <f t="shared" si="3"/>
        <v>0</v>
      </c>
      <c r="S28">
        <f t="shared" si="4"/>
        <v>1</v>
      </c>
      <c r="T28">
        <f t="shared" si="5"/>
        <v>0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>
        <v>0</v>
      </c>
      <c r="L29" s="4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1</v>
      </c>
      <c r="R29">
        <f t="shared" si="3"/>
        <v>0</v>
      </c>
      <c r="S29">
        <f t="shared" si="4"/>
        <v>1</v>
      </c>
      <c r="T29">
        <f t="shared" si="5"/>
        <v>0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>
        <v>0</v>
      </c>
      <c r="L30" s="4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0</v>
      </c>
      <c r="T30">
        <f t="shared" si="5"/>
        <v>1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>
        <v>0</v>
      </c>
      <c r="L31" s="4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0</v>
      </c>
      <c r="R31">
        <f t="shared" si="3"/>
        <v>0</v>
      </c>
      <c r="S31">
        <f t="shared" si="4"/>
        <v>0</v>
      </c>
      <c r="T31">
        <f t="shared" si="5"/>
        <v>1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>
        <v>1</v>
      </c>
      <c r="L32" s="4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1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>
        <v>0</v>
      </c>
      <c r="L33" s="4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1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>
        <v>0</v>
      </c>
      <c r="L34" s="4">
        <v>4.2</v>
      </c>
      <c r="M34">
        <v>641865.03</v>
      </c>
      <c r="N34">
        <v>81342.58</v>
      </c>
      <c r="O34">
        <f t="shared" si="0"/>
        <v>1</v>
      </c>
      <c r="P34">
        <f t="shared" si="1"/>
        <v>0</v>
      </c>
      <c r="Q34">
        <f t="shared" si="2"/>
        <v>0</v>
      </c>
      <c r="R34">
        <f t="shared" si="3"/>
        <v>0</v>
      </c>
      <c r="S34">
        <f t="shared" si="4"/>
        <v>0</v>
      </c>
      <c r="T34">
        <f t="shared" si="5"/>
        <v>1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>
        <v>0</v>
      </c>
      <c r="L35" s="4"/>
      <c r="M35">
        <v>799477.76000000001</v>
      </c>
      <c r="N35">
        <v>164974.41</v>
      </c>
      <c r="O35">
        <f t="shared" si="0"/>
        <v>1</v>
      </c>
      <c r="P35">
        <f t="shared" si="1"/>
        <v>0</v>
      </c>
      <c r="Q35">
        <f t="shared" si="2"/>
        <v>0</v>
      </c>
      <c r="R35">
        <f t="shared" si="3"/>
        <v>0</v>
      </c>
      <c r="S35">
        <f t="shared" si="4"/>
        <v>0</v>
      </c>
      <c r="T35">
        <f t="shared" si="5"/>
        <v>1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>
        <v>0</v>
      </c>
      <c r="L36" s="4">
        <v>3.5</v>
      </c>
      <c r="M36">
        <v>798952.17</v>
      </c>
      <c r="N36">
        <v>161499.04</v>
      </c>
      <c r="O36">
        <f t="shared" si="0"/>
        <v>1</v>
      </c>
      <c r="P36">
        <f t="shared" si="1"/>
        <v>0</v>
      </c>
      <c r="Q36">
        <f t="shared" si="2"/>
        <v>0</v>
      </c>
      <c r="R36">
        <f t="shared" si="3"/>
        <v>0</v>
      </c>
      <c r="S36">
        <f t="shared" si="4"/>
        <v>0</v>
      </c>
      <c r="T36">
        <f t="shared" si="5"/>
        <v>1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>
        <v>0</v>
      </c>
      <c r="L37" s="4">
        <v>3.6</v>
      </c>
      <c r="M37">
        <v>800979.78</v>
      </c>
      <c r="N37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  <c r="R37">
        <f t="shared" si="3"/>
        <v>0</v>
      </c>
      <c r="S37">
        <f t="shared" si="4"/>
        <v>0</v>
      </c>
      <c r="T37">
        <f t="shared" si="5"/>
        <v>1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>
        <v>1</v>
      </c>
      <c r="L38" s="4">
        <v>4.2</v>
      </c>
      <c r="M38">
        <v>820593.93</v>
      </c>
      <c r="N38">
        <v>115860.06</v>
      </c>
      <c r="O38">
        <f t="shared" si="0"/>
        <v>1</v>
      </c>
      <c r="P38">
        <f t="shared" si="1"/>
        <v>0</v>
      </c>
      <c r="Q38">
        <f t="shared" si="2"/>
        <v>0</v>
      </c>
      <c r="R38">
        <f t="shared" si="3"/>
        <v>0</v>
      </c>
      <c r="S38">
        <f t="shared" si="4"/>
        <v>1</v>
      </c>
      <c r="T38">
        <f t="shared" si="5"/>
        <v>0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>
        <v>0</v>
      </c>
      <c r="L39" s="4">
        <v>3.8</v>
      </c>
      <c r="M39">
        <v>718330.53</v>
      </c>
      <c r="N39">
        <v>93247.9</v>
      </c>
      <c r="O39">
        <f t="shared" si="0"/>
        <v>1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1</v>
      </c>
      <c r="T39">
        <f t="shared" si="5"/>
        <v>0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>
        <v>0</v>
      </c>
      <c r="L40" s="4">
        <v>4</v>
      </c>
      <c r="M40">
        <v>736633.4</v>
      </c>
      <c r="N40">
        <v>115654.66</v>
      </c>
      <c r="O40">
        <f t="shared" si="0"/>
        <v>1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1</v>
      </c>
      <c r="T40">
        <f t="shared" si="5"/>
        <v>0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>
        <v>0</v>
      </c>
      <c r="L41" s="4">
        <v>3.8</v>
      </c>
      <c r="M41">
        <v>828623.85</v>
      </c>
      <c r="N41">
        <v>167320.51999999999</v>
      </c>
      <c r="O41">
        <f t="shared" si="0"/>
        <v>1</v>
      </c>
      <c r="P41">
        <f t="shared" si="1"/>
        <v>0</v>
      </c>
      <c r="Q41">
        <f t="shared" si="2"/>
        <v>0</v>
      </c>
      <c r="R41">
        <f t="shared" si="3"/>
        <v>0</v>
      </c>
      <c r="S41">
        <f t="shared" si="4"/>
        <v>1</v>
      </c>
      <c r="T41">
        <f t="shared" si="5"/>
        <v>0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>
        <v>0</v>
      </c>
      <c r="L42" s="4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1</v>
      </c>
      <c r="T42">
        <f t="shared" si="5"/>
        <v>0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>
        <v>0</v>
      </c>
      <c r="L43" s="4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1</v>
      </c>
      <c r="T43">
        <f t="shared" si="5"/>
        <v>0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>
        <v>1</v>
      </c>
      <c r="L44" s="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1</v>
      </c>
      <c r="T44">
        <f t="shared" si="5"/>
        <v>0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>
        <v>0</v>
      </c>
      <c r="L45" s="4">
        <v>4.2</v>
      </c>
      <c r="M45">
        <v>605178</v>
      </c>
      <c r="N45">
        <v>106958.74</v>
      </c>
      <c r="O45">
        <f t="shared" si="0"/>
        <v>0</v>
      </c>
      <c r="P45">
        <f t="shared" si="1"/>
        <v>0</v>
      </c>
      <c r="Q45">
        <f t="shared" si="2"/>
        <v>0</v>
      </c>
      <c r="R45">
        <f t="shared" si="3"/>
        <v>0</v>
      </c>
      <c r="S45">
        <f t="shared" si="4"/>
        <v>1</v>
      </c>
      <c r="T45">
        <f t="shared" si="5"/>
        <v>0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>
        <v>0</v>
      </c>
      <c r="L46" s="4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1</v>
      </c>
      <c r="R46">
        <f t="shared" si="3"/>
        <v>0</v>
      </c>
      <c r="S46">
        <f t="shared" si="4"/>
        <v>0</v>
      </c>
      <c r="T46">
        <f t="shared" si="5"/>
        <v>1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>
        <v>0</v>
      </c>
      <c r="L47" s="4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1</v>
      </c>
      <c r="R47">
        <f t="shared" si="3"/>
        <v>0</v>
      </c>
      <c r="S47">
        <f t="shared" si="4"/>
        <v>0</v>
      </c>
      <c r="T47">
        <f t="shared" si="5"/>
        <v>1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>
        <v>1</v>
      </c>
      <c r="L48" s="4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1</v>
      </c>
      <c r="R48">
        <f t="shared" si="3"/>
        <v>0</v>
      </c>
      <c r="S48">
        <f t="shared" si="4"/>
        <v>0</v>
      </c>
      <c r="T48">
        <f t="shared" si="5"/>
        <v>1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>
        <v>0</v>
      </c>
      <c r="L49" s="4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1</v>
      </c>
      <c r="R49">
        <f t="shared" si="3"/>
        <v>0</v>
      </c>
      <c r="S49">
        <f t="shared" si="4"/>
        <v>0</v>
      </c>
      <c r="T49">
        <f t="shared" si="5"/>
        <v>1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>
        <v>1</v>
      </c>
      <c r="L50" s="4">
        <v>4.7</v>
      </c>
      <c r="M50">
        <v>622811.74</v>
      </c>
      <c r="N50">
        <v>109978.35</v>
      </c>
      <c r="O50">
        <f t="shared" si="0"/>
        <v>1</v>
      </c>
      <c r="P50">
        <f t="shared" si="1"/>
        <v>0</v>
      </c>
      <c r="Q50">
        <f t="shared" si="2"/>
        <v>0</v>
      </c>
      <c r="R50">
        <f t="shared" si="3"/>
        <v>0</v>
      </c>
      <c r="S50">
        <f t="shared" si="4"/>
        <v>1</v>
      </c>
      <c r="T50">
        <f t="shared" si="5"/>
        <v>0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>
        <v>0</v>
      </c>
      <c r="L51" s="4">
        <v>4.5999999999999996</v>
      </c>
      <c r="M51">
        <v>603297.56999999995</v>
      </c>
      <c r="N51">
        <v>60592.26</v>
      </c>
      <c r="O51">
        <f t="shared" si="0"/>
        <v>1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4"/>
        <v>1</v>
      </c>
      <c r="T51">
        <f t="shared" si="5"/>
        <v>0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>
        <v>0</v>
      </c>
      <c r="L52" s="4">
        <v>4.5</v>
      </c>
      <c r="M52">
        <v>625672.86</v>
      </c>
      <c r="N52">
        <v>118020.12</v>
      </c>
      <c r="O52">
        <f t="shared" si="0"/>
        <v>1</v>
      </c>
      <c r="P52">
        <f t="shared" si="1"/>
        <v>0</v>
      </c>
      <c r="Q52">
        <f t="shared" si="2"/>
        <v>0</v>
      </c>
      <c r="R52">
        <f t="shared" si="3"/>
        <v>0</v>
      </c>
      <c r="S52">
        <f t="shared" si="4"/>
        <v>1</v>
      </c>
      <c r="T52">
        <f t="shared" si="5"/>
        <v>0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>
        <v>0</v>
      </c>
      <c r="L53" s="4">
        <v>4.5999999999999996</v>
      </c>
      <c r="M53">
        <v>773815.14</v>
      </c>
      <c r="N53">
        <v>133948.39000000001</v>
      </c>
      <c r="O53">
        <f t="shared" si="0"/>
        <v>1</v>
      </c>
      <c r="P53">
        <f t="shared" si="1"/>
        <v>0</v>
      </c>
      <c r="Q53">
        <f t="shared" si="2"/>
        <v>0</v>
      </c>
      <c r="R53">
        <f t="shared" si="3"/>
        <v>0</v>
      </c>
      <c r="S53">
        <f t="shared" si="4"/>
        <v>1</v>
      </c>
      <c r="T53">
        <f t="shared" si="5"/>
        <v>0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>
        <v>0</v>
      </c>
      <c r="L54" s="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1</v>
      </c>
      <c r="R54">
        <f t="shared" si="3"/>
        <v>0</v>
      </c>
      <c r="S54">
        <f t="shared" si="4"/>
        <v>0</v>
      </c>
      <c r="T54">
        <f t="shared" si="5"/>
        <v>0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>
        <v>0</v>
      </c>
      <c r="L55" s="4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1</v>
      </c>
      <c r="R55">
        <f t="shared" si="3"/>
        <v>0</v>
      </c>
      <c r="S55">
        <f t="shared" si="4"/>
        <v>0</v>
      </c>
      <c r="T55">
        <f t="shared" si="5"/>
        <v>0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>
        <v>0</v>
      </c>
      <c r="L56" s="4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1</v>
      </c>
      <c r="R56">
        <f t="shared" si="3"/>
        <v>0</v>
      </c>
      <c r="S56">
        <f t="shared" si="4"/>
        <v>0</v>
      </c>
      <c r="T56">
        <f t="shared" si="5"/>
        <v>0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>
        <v>0</v>
      </c>
      <c r="L57" s="4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1</v>
      </c>
      <c r="R57">
        <f t="shared" si="3"/>
        <v>0</v>
      </c>
      <c r="S57">
        <f t="shared" si="4"/>
        <v>0</v>
      </c>
      <c r="T57">
        <f t="shared" si="5"/>
        <v>0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>
        <v>0</v>
      </c>
      <c r="L58" s="4">
        <v>3.5</v>
      </c>
      <c r="M58">
        <v>518049.26</v>
      </c>
      <c r="N58">
        <v>108592.49</v>
      </c>
      <c r="O58">
        <f t="shared" si="0"/>
        <v>0</v>
      </c>
      <c r="P58">
        <f t="shared" si="1"/>
        <v>0</v>
      </c>
      <c r="Q58">
        <f t="shared" si="2"/>
        <v>0</v>
      </c>
      <c r="R58">
        <f t="shared" si="3"/>
        <v>1</v>
      </c>
      <c r="S58">
        <f t="shared" si="4"/>
        <v>0</v>
      </c>
      <c r="T58">
        <f t="shared" si="5"/>
        <v>0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>
        <v>0</v>
      </c>
      <c r="L59" s="4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0</v>
      </c>
      <c r="Q59">
        <f t="shared" si="2"/>
        <v>0</v>
      </c>
      <c r="R59">
        <f t="shared" si="3"/>
        <v>1</v>
      </c>
      <c r="S59">
        <f t="shared" si="4"/>
        <v>0</v>
      </c>
      <c r="T59">
        <f t="shared" si="5"/>
        <v>0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>
        <v>0</v>
      </c>
      <c r="L60" s="4">
        <v>3.1</v>
      </c>
      <c r="M60">
        <v>617291.15</v>
      </c>
      <c r="N60">
        <v>117782</v>
      </c>
      <c r="O60">
        <f t="shared" si="0"/>
        <v>0</v>
      </c>
      <c r="P60">
        <f t="shared" si="1"/>
        <v>0</v>
      </c>
      <c r="Q60">
        <f t="shared" si="2"/>
        <v>0</v>
      </c>
      <c r="R60">
        <f t="shared" si="3"/>
        <v>1</v>
      </c>
      <c r="S60">
        <f t="shared" si="4"/>
        <v>0</v>
      </c>
      <c r="T60">
        <f t="shared" si="5"/>
        <v>0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>
        <v>0</v>
      </c>
      <c r="L61" s="4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0</v>
      </c>
      <c r="Q61">
        <f t="shared" si="2"/>
        <v>0</v>
      </c>
      <c r="R61">
        <f t="shared" si="3"/>
        <v>1</v>
      </c>
      <c r="S61">
        <f t="shared" si="4"/>
        <v>0</v>
      </c>
      <c r="T61">
        <f t="shared" si="5"/>
        <v>0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>
        <v>0</v>
      </c>
      <c r="L62" s="4">
        <v>3.7</v>
      </c>
      <c r="M62">
        <v>749559.71</v>
      </c>
      <c r="N62">
        <v>144522.53</v>
      </c>
      <c r="O62">
        <f t="shared" si="0"/>
        <v>0</v>
      </c>
      <c r="P62">
        <f t="shared" si="1"/>
        <v>1</v>
      </c>
      <c r="Q62">
        <f t="shared" si="2"/>
        <v>0</v>
      </c>
      <c r="R62">
        <f t="shared" si="3"/>
        <v>0</v>
      </c>
      <c r="S62">
        <f t="shared" si="4"/>
        <v>0</v>
      </c>
      <c r="T62">
        <f t="shared" si="5"/>
        <v>0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>
        <v>0</v>
      </c>
      <c r="L63" s="4">
        <v>3.8</v>
      </c>
      <c r="M63">
        <v>615966.48</v>
      </c>
      <c r="N63">
        <v>91509.38</v>
      </c>
      <c r="O63">
        <f t="shared" si="0"/>
        <v>0</v>
      </c>
      <c r="P63">
        <f t="shared" si="1"/>
        <v>1</v>
      </c>
      <c r="Q63">
        <f t="shared" si="2"/>
        <v>0</v>
      </c>
      <c r="R63">
        <f t="shared" si="3"/>
        <v>0</v>
      </c>
      <c r="S63">
        <f t="shared" si="4"/>
        <v>0</v>
      </c>
      <c r="T63">
        <f t="shared" si="5"/>
        <v>0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>
        <v>0</v>
      </c>
      <c r="L64" s="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1</v>
      </c>
      <c r="Q64">
        <f t="shared" si="2"/>
        <v>0</v>
      </c>
      <c r="R64">
        <f t="shared" si="3"/>
        <v>0</v>
      </c>
      <c r="S64">
        <f t="shared" si="4"/>
        <v>0</v>
      </c>
      <c r="T64">
        <f t="shared" si="5"/>
        <v>0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>
        <v>0</v>
      </c>
      <c r="L65" s="4">
        <v>3.5</v>
      </c>
      <c r="M65">
        <v>761860.19</v>
      </c>
      <c r="N65">
        <v>133279.38</v>
      </c>
      <c r="O65">
        <f t="shared" si="0"/>
        <v>0</v>
      </c>
      <c r="P65">
        <f t="shared" si="1"/>
        <v>1</v>
      </c>
      <c r="Q65">
        <f t="shared" si="2"/>
        <v>0</v>
      </c>
      <c r="R65">
        <f t="shared" si="3"/>
        <v>0</v>
      </c>
      <c r="S65">
        <f t="shared" si="4"/>
        <v>0</v>
      </c>
      <c r="T65">
        <f t="shared" si="5"/>
        <v>0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>
        <v>1</v>
      </c>
      <c r="L66" s="4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1</v>
      </c>
      <c r="R66">
        <f t="shared" si="3"/>
        <v>0</v>
      </c>
      <c r="S66">
        <f t="shared" si="4"/>
        <v>0</v>
      </c>
      <c r="T66">
        <f t="shared" si="5"/>
        <v>0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>
        <v>0</v>
      </c>
      <c r="L67" s="4">
        <v>3.6</v>
      </c>
      <c r="M67">
        <v>717141.55</v>
      </c>
      <c r="N67">
        <v>134013.60999999999</v>
      </c>
      <c r="O67">
        <f t="shared" ref="O67:O130" si="6">IF(C67="North",1,0)</f>
        <v>0</v>
      </c>
      <c r="P67">
        <f t="shared" ref="P67:P130" si="7">IF(C67="South",1,0)</f>
        <v>0</v>
      </c>
      <c r="Q67">
        <f t="shared" ref="Q67:Q130" si="8">IF(C67="West",1,0)</f>
        <v>1</v>
      </c>
      <c r="R67">
        <f t="shared" ref="R67:R130" si="9">IF(D67="Airport",1,0)</f>
        <v>0</v>
      </c>
      <c r="S67">
        <f t="shared" ref="S67:S130" si="10">IF(D67="Mall",1,0)</f>
        <v>0</v>
      </c>
      <c r="T67">
        <f t="shared" ref="T67:T130" si="11">IF(D67="Residential",1,0)</f>
        <v>0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>
        <v>1</v>
      </c>
      <c r="L68" s="4">
        <v>3.2</v>
      </c>
      <c r="M68">
        <v>685379.08</v>
      </c>
      <c r="N68">
        <v>106898.82</v>
      </c>
      <c r="O68">
        <f t="shared" si="6"/>
        <v>0</v>
      </c>
      <c r="P68">
        <f t="shared" si="7"/>
        <v>0</v>
      </c>
      <c r="Q68">
        <f t="shared" si="8"/>
        <v>1</v>
      </c>
      <c r="R68">
        <f t="shared" si="9"/>
        <v>0</v>
      </c>
      <c r="S68">
        <f t="shared" si="10"/>
        <v>0</v>
      </c>
      <c r="T68">
        <f t="shared" si="11"/>
        <v>0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>
        <v>0</v>
      </c>
      <c r="L69" s="4">
        <v>3.4</v>
      </c>
      <c r="M69">
        <v>740496.65</v>
      </c>
      <c r="N69">
        <v>128020.9</v>
      </c>
      <c r="O69">
        <f t="shared" si="6"/>
        <v>0</v>
      </c>
      <c r="P69">
        <f t="shared" si="7"/>
        <v>0</v>
      </c>
      <c r="Q69">
        <f t="shared" si="8"/>
        <v>1</v>
      </c>
      <c r="R69">
        <f t="shared" si="9"/>
        <v>0</v>
      </c>
      <c r="S69">
        <f t="shared" si="10"/>
        <v>0</v>
      </c>
      <c r="T69">
        <f t="shared" si="11"/>
        <v>0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>
        <v>1</v>
      </c>
      <c r="L70" s="4">
        <v>3.3</v>
      </c>
      <c r="M70">
        <v>661927.14</v>
      </c>
      <c r="N70">
        <v>79218.570000000007</v>
      </c>
      <c r="O70">
        <f t="shared" si="6"/>
        <v>0</v>
      </c>
      <c r="P70">
        <f t="shared" si="7"/>
        <v>0</v>
      </c>
      <c r="Q70">
        <f t="shared" si="8"/>
        <v>0</v>
      </c>
      <c r="R70">
        <f t="shared" si="9"/>
        <v>0</v>
      </c>
      <c r="S70">
        <f t="shared" si="10"/>
        <v>0</v>
      </c>
      <c r="T70">
        <f t="shared" si="11"/>
        <v>0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>
        <v>0</v>
      </c>
      <c r="L71" s="4">
        <v>3.3</v>
      </c>
      <c r="M71">
        <v>479050.5</v>
      </c>
      <c r="N71">
        <v>53651.11</v>
      </c>
      <c r="O71">
        <f t="shared" si="6"/>
        <v>0</v>
      </c>
      <c r="P71">
        <f t="shared" si="7"/>
        <v>0</v>
      </c>
      <c r="Q71">
        <f t="shared" si="8"/>
        <v>0</v>
      </c>
      <c r="R71">
        <f t="shared" si="9"/>
        <v>0</v>
      </c>
      <c r="S71">
        <f t="shared" si="10"/>
        <v>0</v>
      </c>
      <c r="T71">
        <f t="shared" si="11"/>
        <v>0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>
        <v>0</v>
      </c>
      <c r="L72" s="4">
        <v>3.2</v>
      </c>
      <c r="M72">
        <v>605023.87</v>
      </c>
      <c r="N72">
        <v>98545.81</v>
      </c>
      <c r="O72">
        <f t="shared" si="6"/>
        <v>0</v>
      </c>
      <c r="P72">
        <f t="shared" si="7"/>
        <v>0</v>
      </c>
      <c r="Q72">
        <f t="shared" si="8"/>
        <v>0</v>
      </c>
      <c r="R72">
        <f t="shared" si="9"/>
        <v>0</v>
      </c>
      <c r="S72">
        <f t="shared" si="10"/>
        <v>0</v>
      </c>
      <c r="T72">
        <f t="shared" si="11"/>
        <v>0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J73" s="4"/>
      <c r="K73">
        <v>0</v>
      </c>
      <c r="L73" s="4">
        <v>3.5</v>
      </c>
      <c r="M73">
        <v>674774.09</v>
      </c>
      <c r="N73">
        <v>141917.59</v>
      </c>
      <c r="O73">
        <f t="shared" si="6"/>
        <v>0</v>
      </c>
      <c r="P73">
        <f t="shared" si="7"/>
        <v>0</v>
      </c>
      <c r="Q73">
        <f t="shared" si="8"/>
        <v>0</v>
      </c>
      <c r="R73">
        <f t="shared" si="9"/>
        <v>0</v>
      </c>
      <c r="S73">
        <f t="shared" si="10"/>
        <v>0</v>
      </c>
      <c r="T73">
        <f t="shared" si="11"/>
        <v>0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>
        <v>0</v>
      </c>
      <c r="L74" s="4">
        <v>4.5</v>
      </c>
      <c r="M74">
        <v>616069.41</v>
      </c>
      <c r="N74">
        <v>54453.99</v>
      </c>
      <c r="O74">
        <f t="shared" si="6"/>
        <v>0</v>
      </c>
      <c r="P74">
        <f t="shared" si="7"/>
        <v>0</v>
      </c>
      <c r="Q74">
        <f t="shared" si="8"/>
        <v>0</v>
      </c>
      <c r="R74">
        <f t="shared" si="9"/>
        <v>0</v>
      </c>
      <c r="S74">
        <f t="shared" si="10"/>
        <v>0</v>
      </c>
      <c r="T74">
        <f t="shared" si="11"/>
        <v>1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>
        <v>0</v>
      </c>
      <c r="L75" s="4">
        <v>4.4000000000000004</v>
      </c>
      <c r="M75">
        <v>630829.93999999994</v>
      </c>
      <c r="N75">
        <v>117090.02</v>
      </c>
      <c r="O75">
        <f t="shared" si="6"/>
        <v>0</v>
      </c>
      <c r="P75">
        <f t="shared" si="7"/>
        <v>0</v>
      </c>
      <c r="Q75">
        <f t="shared" si="8"/>
        <v>0</v>
      </c>
      <c r="R75">
        <f t="shared" si="9"/>
        <v>0</v>
      </c>
      <c r="S75">
        <f t="shared" si="10"/>
        <v>0</v>
      </c>
      <c r="T75">
        <f t="shared" si="11"/>
        <v>1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>
        <v>1</v>
      </c>
      <c r="L76" s="4">
        <v>4.3</v>
      </c>
      <c r="M76">
        <v>788087.68</v>
      </c>
      <c r="N76">
        <v>116803.42</v>
      </c>
      <c r="O76">
        <f t="shared" si="6"/>
        <v>0</v>
      </c>
      <c r="P76">
        <f t="shared" si="7"/>
        <v>0</v>
      </c>
      <c r="Q76">
        <f t="shared" si="8"/>
        <v>0</v>
      </c>
      <c r="R76">
        <f t="shared" si="9"/>
        <v>0</v>
      </c>
      <c r="S76">
        <f t="shared" si="10"/>
        <v>0</v>
      </c>
      <c r="T76">
        <f t="shared" si="11"/>
        <v>1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>
        <v>0</v>
      </c>
      <c r="L77" s="4">
        <v>4.5</v>
      </c>
      <c r="M77">
        <v>680840.36</v>
      </c>
      <c r="N77">
        <v>68007.679999999993</v>
      </c>
      <c r="O77">
        <f t="shared" si="6"/>
        <v>0</v>
      </c>
      <c r="P77">
        <f t="shared" si="7"/>
        <v>0</v>
      </c>
      <c r="Q77">
        <f t="shared" si="8"/>
        <v>0</v>
      </c>
      <c r="R77">
        <f t="shared" si="9"/>
        <v>0</v>
      </c>
      <c r="S77">
        <f t="shared" si="10"/>
        <v>0</v>
      </c>
      <c r="T77">
        <f t="shared" si="11"/>
        <v>1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>
        <v>1</v>
      </c>
      <c r="L78" s="4">
        <v>3.2</v>
      </c>
      <c r="M78">
        <v>643657.47</v>
      </c>
      <c r="N78">
        <v>87022.45</v>
      </c>
      <c r="O78">
        <f t="shared" si="6"/>
        <v>0</v>
      </c>
      <c r="P78">
        <f t="shared" si="7"/>
        <v>1</v>
      </c>
      <c r="Q78">
        <f t="shared" si="8"/>
        <v>0</v>
      </c>
      <c r="R78">
        <f t="shared" si="9"/>
        <v>0</v>
      </c>
      <c r="S78">
        <f t="shared" si="10"/>
        <v>0</v>
      </c>
      <c r="T78">
        <f t="shared" si="11"/>
        <v>0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>
        <v>0</v>
      </c>
      <c r="L79" s="4">
        <v>2.9</v>
      </c>
      <c r="M79">
        <v>691112.6</v>
      </c>
      <c r="N79">
        <v>109212.83</v>
      </c>
      <c r="O79">
        <f t="shared" si="6"/>
        <v>0</v>
      </c>
      <c r="P79">
        <f t="shared" si="7"/>
        <v>1</v>
      </c>
      <c r="Q79">
        <f t="shared" si="8"/>
        <v>0</v>
      </c>
      <c r="R79">
        <f t="shared" si="9"/>
        <v>0</v>
      </c>
      <c r="S79">
        <f t="shared" si="10"/>
        <v>0</v>
      </c>
      <c r="T79">
        <f t="shared" si="11"/>
        <v>0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>
        <v>0</v>
      </c>
      <c r="L80" s="4">
        <v>3.3</v>
      </c>
      <c r="M80">
        <v>776922.17</v>
      </c>
      <c r="N80">
        <v>150701.93</v>
      </c>
      <c r="O80">
        <f t="shared" si="6"/>
        <v>0</v>
      </c>
      <c r="P80">
        <f t="shared" si="7"/>
        <v>1</v>
      </c>
      <c r="Q80">
        <f t="shared" si="8"/>
        <v>0</v>
      </c>
      <c r="R80">
        <f t="shared" si="9"/>
        <v>0</v>
      </c>
      <c r="S80">
        <f t="shared" si="10"/>
        <v>0</v>
      </c>
      <c r="T80">
        <f t="shared" si="11"/>
        <v>0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>
        <v>0</v>
      </c>
      <c r="L81" s="4">
        <v>3.2</v>
      </c>
      <c r="M81">
        <v>636561.34</v>
      </c>
      <c r="N81">
        <v>93861.06</v>
      </c>
      <c r="O81">
        <f t="shared" si="6"/>
        <v>0</v>
      </c>
      <c r="P81">
        <f t="shared" si="7"/>
        <v>1</v>
      </c>
      <c r="Q81">
        <f t="shared" si="8"/>
        <v>0</v>
      </c>
      <c r="R81">
        <f t="shared" si="9"/>
        <v>0</v>
      </c>
      <c r="S81">
        <f t="shared" si="10"/>
        <v>0</v>
      </c>
      <c r="T81">
        <f t="shared" si="11"/>
        <v>0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>
        <v>0</v>
      </c>
      <c r="L82" s="4">
        <v>4.5999999999999996</v>
      </c>
      <c r="M82">
        <v>621369.57999999996</v>
      </c>
      <c r="N82">
        <v>85493.64</v>
      </c>
      <c r="O82">
        <f t="shared" si="6"/>
        <v>0</v>
      </c>
      <c r="P82">
        <f t="shared" si="7"/>
        <v>0</v>
      </c>
      <c r="Q82">
        <f t="shared" si="8"/>
        <v>1</v>
      </c>
      <c r="R82">
        <f t="shared" si="9"/>
        <v>0</v>
      </c>
      <c r="S82">
        <f t="shared" si="10"/>
        <v>1</v>
      </c>
      <c r="T82">
        <f t="shared" si="11"/>
        <v>0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>
        <v>0</v>
      </c>
      <c r="L83" s="4">
        <v>4.5999999999999996</v>
      </c>
      <c r="M83">
        <v>682208.01</v>
      </c>
      <c r="N83">
        <v>110318.84</v>
      </c>
      <c r="O83">
        <f t="shared" si="6"/>
        <v>0</v>
      </c>
      <c r="P83">
        <f t="shared" si="7"/>
        <v>0</v>
      </c>
      <c r="Q83">
        <f t="shared" si="8"/>
        <v>1</v>
      </c>
      <c r="R83">
        <f t="shared" si="9"/>
        <v>0</v>
      </c>
      <c r="S83">
        <f t="shared" si="10"/>
        <v>1</v>
      </c>
      <c r="T83">
        <f t="shared" si="11"/>
        <v>0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>
        <v>0</v>
      </c>
      <c r="L84" s="4">
        <v>4.5999999999999996</v>
      </c>
      <c r="M84">
        <v>727241.86</v>
      </c>
      <c r="N84">
        <v>155810.29999999999</v>
      </c>
      <c r="O84">
        <f t="shared" si="6"/>
        <v>0</v>
      </c>
      <c r="P84">
        <f t="shared" si="7"/>
        <v>0</v>
      </c>
      <c r="Q84">
        <f t="shared" si="8"/>
        <v>1</v>
      </c>
      <c r="R84">
        <f t="shared" si="9"/>
        <v>0</v>
      </c>
      <c r="S84">
        <f t="shared" si="10"/>
        <v>1</v>
      </c>
      <c r="T84">
        <f t="shared" si="11"/>
        <v>0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>
        <v>0</v>
      </c>
      <c r="L85" s="4">
        <v>4.2</v>
      </c>
      <c r="M85">
        <v>569100.78</v>
      </c>
      <c r="N85">
        <v>104808.78</v>
      </c>
      <c r="O85">
        <f t="shared" si="6"/>
        <v>0</v>
      </c>
      <c r="P85">
        <f t="shared" si="7"/>
        <v>0</v>
      </c>
      <c r="Q85">
        <f t="shared" si="8"/>
        <v>1</v>
      </c>
      <c r="R85">
        <f t="shared" si="9"/>
        <v>0</v>
      </c>
      <c r="S85">
        <f t="shared" si="10"/>
        <v>1</v>
      </c>
      <c r="T85">
        <f t="shared" si="11"/>
        <v>0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>
        <v>0</v>
      </c>
      <c r="L86" s="4">
        <v>4.9000000000000004</v>
      </c>
      <c r="M86">
        <v>574436.29</v>
      </c>
      <c r="N86">
        <v>80271.990000000005</v>
      </c>
      <c r="O86">
        <f t="shared" si="6"/>
        <v>0</v>
      </c>
      <c r="P86">
        <f t="shared" si="7"/>
        <v>0</v>
      </c>
      <c r="Q86">
        <f t="shared" si="8"/>
        <v>1</v>
      </c>
      <c r="R86">
        <f t="shared" si="9"/>
        <v>0</v>
      </c>
      <c r="S86">
        <f t="shared" si="10"/>
        <v>0</v>
      </c>
      <c r="T86">
        <f t="shared" si="11"/>
        <v>0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>
        <v>0</v>
      </c>
      <c r="L87" s="4"/>
      <c r="M87">
        <v>611766.72</v>
      </c>
      <c r="N87">
        <v>88275.61</v>
      </c>
      <c r="O87">
        <f t="shared" si="6"/>
        <v>0</v>
      </c>
      <c r="P87">
        <f t="shared" si="7"/>
        <v>0</v>
      </c>
      <c r="Q87">
        <f t="shared" si="8"/>
        <v>1</v>
      </c>
      <c r="R87">
        <f t="shared" si="9"/>
        <v>0</v>
      </c>
      <c r="S87">
        <f t="shared" si="10"/>
        <v>0</v>
      </c>
      <c r="T87">
        <f t="shared" si="11"/>
        <v>0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>
        <v>0</v>
      </c>
      <c r="L88" s="4">
        <v>4.3</v>
      </c>
      <c r="M88">
        <v>614596.31999999995</v>
      </c>
      <c r="N88">
        <v>131199.41</v>
      </c>
      <c r="O88">
        <f t="shared" si="6"/>
        <v>0</v>
      </c>
      <c r="P88">
        <f t="shared" si="7"/>
        <v>0</v>
      </c>
      <c r="Q88">
        <f t="shared" si="8"/>
        <v>1</v>
      </c>
      <c r="R88">
        <f t="shared" si="9"/>
        <v>0</v>
      </c>
      <c r="S88">
        <f t="shared" si="10"/>
        <v>0</v>
      </c>
      <c r="T88">
        <f t="shared" si="11"/>
        <v>0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>
        <v>0</v>
      </c>
      <c r="L89" s="4">
        <v>4.5999999999999996</v>
      </c>
      <c r="M89">
        <v>450711.92</v>
      </c>
      <c r="N89">
        <v>90043.76</v>
      </c>
      <c r="O89">
        <f t="shared" si="6"/>
        <v>0</v>
      </c>
      <c r="P89">
        <f t="shared" si="7"/>
        <v>0</v>
      </c>
      <c r="Q89">
        <f t="shared" si="8"/>
        <v>1</v>
      </c>
      <c r="R89">
        <f t="shared" si="9"/>
        <v>0</v>
      </c>
      <c r="S89">
        <f t="shared" si="10"/>
        <v>0</v>
      </c>
      <c r="T89">
        <f t="shared" si="11"/>
        <v>0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>
        <v>1</v>
      </c>
      <c r="L90" s="4">
        <v>4.0999999999999996</v>
      </c>
      <c r="M90">
        <v>711213.46</v>
      </c>
      <c r="N90">
        <v>105863.26</v>
      </c>
      <c r="O90">
        <f t="shared" si="6"/>
        <v>0</v>
      </c>
      <c r="P90">
        <f t="shared" si="7"/>
        <v>1</v>
      </c>
      <c r="Q90">
        <f t="shared" si="8"/>
        <v>0</v>
      </c>
      <c r="R90">
        <f t="shared" si="9"/>
        <v>0</v>
      </c>
      <c r="S90">
        <f t="shared" si="10"/>
        <v>1</v>
      </c>
      <c r="T90">
        <f t="shared" si="11"/>
        <v>0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>
        <v>0</v>
      </c>
      <c r="L91" s="4">
        <v>4.5</v>
      </c>
      <c r="M91">
        <v>627171.9</v>
      </c>
      <c r="N91">
        <v>105772.75</v>
      </c>
      <c r="O91">
        <f t="shared" si="6"/>
        <v>0</v>
      </c>
      <c r="P91">
        <f t="shared" si="7"/>
        <v>1</v>
      </c>
      <c r="Q91">
        <f t="shared" si="8"/>
        <v>0</v>
      </c>
      <c r="R91">
        <f t="shared" si="9"/>
        <v>0</v>
      </c>
      <c r="S91">
        <f t="shared" si="10"/>
        <v>1</v>
      </c>
      <c r="T91">
        <f t="shared" si="11"/>
        <v>0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>
        <v>0</v>
      </c>
      <c r="L92" s="4">
        <v>4.7</v>
      </c>
      <c r="M92">
        <v>739852.58</v>
      </c>
      <c r="N92">
        <v>129386.43</v>
      </c>
      <c r="O92">
        <f t="shared" si="6"/>
        <v>0</v>
      </c>
      <c r="P92">
        <f t="shared" si="7"/>
        <v>1</v>
      </c>
      <c r="Q92">
        <f t="shared" si="8"/>
        <v>0</v>
      </c>
      <c r="R92">
        <f t="shared" si="9"/>
        <v>0</v>
      </c>
      <c r="S92">
        <f t="shared" si="10"/>
        <v>1</v>
      </c>
      <c r="T92">
        <f t="shared" si="11"/>
        <v>0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>
        <v>0</v>
      </c>
      <c r="L93" s="4">
        <v>4.3</v>
      </c>
      <c r="M93">
        <v>586307.22</v>
      </c>
      <c r="N93">
        <v>73927.850000000006</v>
      </c>
      <c r="O93">
        <f t="shared" si="6"/>
        <v>0</v>
      </c>
      <c r="P93">
        <f t="shared" si="7"/>
        <v>1</v>
      </c>
      <c r="Q93">
        <f t="shared" si="8"/>
        <v>0</v>
      </c>
      <c r="R93">
        <f t="shared" si="9"/>
        <v>0</v>
      </c>
      <c r="S93">
        <f t="shared" si="10"/>
        <v>1</v>
      </c>
      <c r="T93">
        <f t="shared" si="11"/>
        <v>0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>
        <v>0</v>
      </c>
      <c r="L94" s="4">
        <v>4.5999999999999996</v>
      </c>
      <c r="M94">
        <v>585937.48</v>
      </c>
      <c r="N94">
        <v>82624.2</v>
      </c>
      <c r="O94">
        <f t="shared" si="6"/>
        <v>0</v>
      </c>
      <c r="P94">
        <f t="shared" si="7"/>
        <v>0</v>
      </c>
      <c r="Q94">
        <f t="shared" si="8"/>
        <v>1</v>
      </c>
      <c r="R94">
        <f t="shared" si="9"/>
        <v>0</v>
      </c>
      <c r="S94">
        <f t="shared" si="10"/>
        <v>0</v>
      </c>
      <c r="T94">
        <f t="shared" si="11"/>
        <v>1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>
        <v>0</v>
      </c>
      <c r="L95" s="4">
        <v>4.5</v>
      </c>
      <c r="M95">
        <v>753473.55</v>
      </c>
      <c r="N95">
        <v>151527.22</v>
      </c>
      <c r="O95">
        <f t="shared" si="6"/>
        <v>0</v>
      </c>
      <c r="P95">
        <f t="shared" si="7"/>
        <v>0</v>
      </c>
      <c r="Q95">
        <f t="shared" si="8"/>
        <v>1</v>
      </c>
      <c r="R95">
        <f t="shared" si="9"/>
        <v>0</v>
      </c>
      <c r="S95">
        <f t="shared" si="10"/>
        <v>0</v>
      </c>
      <c r="T95">
        <f t="shared" si="11"/>
        <v>1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>
        <v>0</v>
      </c>
      <c r="L96" s="4">
        <v>5</v>
      </c>
      <c r="M96">
        <v>838250.32</v>
      </c>
      <c r="N96">
        <v>122939.34</v>
      </c>
      <c r="O96">
        <f t="shared" si="6"/>
        <v>0</v>
      </c>
      <c r="P96">
        <f t="shared" si="7"/>
        <v>0</v>
      </c>
      <c r="Q96">
        <f t="shared" si="8"/>
        <v>1</v>
      </c>
      <c r="R96">
        <f t="shared" si="9"/>
        <v>0</v>
      </c>
      <c r="S96">
        <f t="shared" si="10"/>
        <v>0</v>
      </c>
      <c r="T96">
        <f t="shared" si="11"/>
        <v>1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>
        <v>0</v>
      </c>
      <c r="L97" s="4">
        <v>4.5</v>
      </c>
      <c r="M97">
        <v>607898.12</v>
      </c>
      <c r="N97">
        <v>135404.85</v>
      </c>
      <c r="O97">
        <f t="shared" si="6"/>
        <v>0</v>
      </c>
      <c r="P97">
        <f t="shared" si="7"/>
        <v>0</v>
      </c>
      <c r="Q97">
        <f t="shared" si="8"/>
        <v>1</v>
      </c>
      <c r="R97">
        <f t="shared" si="9"/>
        <v>0</v>
      </c>
      <c r="S97">
        <f t="shared" si="10"/>
        <v>0</v>
      </c>
      <c r="T97">
        <f t="shared" si="11"/>
        <v>1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>
        <v>0</v>
      </c>
      <c r="L98" s="4">
        <v>4.4000000000000004</v>
      </c>
      <c r="M98">
        <v>691113.62</v>
      </c>
      <c r="N98">
        <v>135145.44</v>
      </c>
      <c r="O98">
        <f t="shared" si="6"/>
        <v>0</v>
      </c>
      <c r="P98">
        <f t="shared" si="7"/>
        <v>0</v>
      </c>
      <c r="Q98">
        <f t="shared" si="8"/>
        <v>1</v>
      </c>
      <c r="R98">
        <f t="shared" si="9"/>
        <v>0</v>
      </c>
      <c r="S98">
        <f t="shared" si="10"/>
        <v>1</v>
      </c>
      <c r="T98">
        <f t="shared" si="11"/>
        <v>0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>
        <v>0</v>
      </c>
      <c r="L99" s="4">
        <v>4.3</v>
      </c>
      <c r="M99">
        <v>735509.4</v>
      </c>
      <c r="N99">
        <v>83895.96</v>
      </c>
      <c r="O99">
        <f t="shared" si="6"/>
        <v>0</v>
      </c>
      <c r="P99">
        <f t="shared" si="7"/>
        <v>0</v>
      </c>
      <c r="Q99">
        <f t="shared" si="8"/>
        <v>1</v>
      </c>
      <c r="R99">
        <f t="shared" si="9"/>
        <v>0</v>
      </c>
      <c r="S99">
        <f t="shared" si="10"/>
        <v>1</v>
      </c>
      <c r="T99">
        <f t="shared" si="11"/>
        <v>0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J100" s="4"/>
      <c r="K100">
        <v>0</v>
      </c>
      <c r="L100" s="4">
        <v>4.3</v>
      </c>
      <c r="M100">
        <v>605775.32999999996</v>
      </c>
      <c r="N100">
        <v>107194.6</v>
      </c>
      <c r="O100">
        <f t="shared" si="6"/>
        <v>0</v>
      </c>
      <c r="P100">
        <f t="shared" si="7"/>
        <v>0</v>
      </c>
      <c r="Q100">
        <f t="shared" si="8"/>
        <v>1</v>
      </c>
      <c r="R100">
        <f t="shared" si="9"/>
        <v>0</v>
      </c>
      <c r="S100">
        <f t="shared" si="10"/>
        <v>1</v>
      </c>
      <c r="T100">
        <f t="shared" si="11"/>
        <v>0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>
        <v>0</v>
      </c>
      <c r="L101" s="4">
        <v>4.4000000000000004</v>
      </c>
      <c r="M101">
        <v>675177.68</v>
      </c>
      <c r="N101">
        <v>105628.68</v>
      </c>
      <c r="O101">
        <f t="shared" si="6"/>
        <v>0</v>
      </c>
      <c r="P101">
        <f t="shared" si="7"/>
        <v>0</v>
      </c>
      <c r="Q101">
        <f t="shared" si="8"/>
        <v>1</v>
      </c>
      <c r="R101">
        <f t="shared" si="9"/>
        <v>0</v>
      </c>
      <c r="S101">
        <f t="shared" si="10"/>
        <v>1</v>
      </c>
      <c r="T101">
        <f t="shared" si="11"/>
        <v>0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>
        <v>0</v>
      </c>
      <c r="L102" s="4">
        <v>4.4000000000000004</v>
      </c>
      <c r="M102">
        <v>635181.35</v>
      </c>
      <c r="N102">
        <v>83341.25</v>
      </c>
      <c r="O102">
        <f t="shared" si="6"/>
        <v>0</v>
      </c>
      <c r="P102">
        <f t="shared" si="7"/>
        <v>0</v>
      </c>
      <c r="Q102">
        <f t="shared" si="8"/>
        <v>0</v>
      </c>
      <c r="R102">
        <f t="shared" si="9"/>
        <v>0</v>
      </c>
      <c r="S102">
        <f t="shared" si="10"/>
        <v>1</v>
      </c>
      <c r="T102">
        <f t="shared" si="11"/>
        <v>0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>
        <v>0</v>
      </c>
      <c r="L103" s="4">
        <v>4.7</v>
      </c>
      <c r="M103">
        <v>586626.93999999994</v>
      </c>
      <c r="N103">
        <v>86498.55</v>
      </c>
      <c r="O103">
        <f t="shared" si="6"/>
        <v>0</v>
      </c>
      <c r="P103">
        <f t="shared" si="7"/>
        <v>0</v>
      </c>
      <c r="Q103">
        <f t="shared" si="8"/>
        <v>0</v>
      </c>
      <c r="R103">
        <f t="shared" si="9"/>
        <v>0</v>
      </c>
      <c r="S103">
        <f t="shared" si="10"/>
        <v>1</v>
      </c>
      <c r="T103">
        <f t="shared" si="11"/>
        <v>0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>
        <v>1</v>
      </c>
      <c r="L104" s="4">
        <v>4.4000000000000004</v>
      </c>
      <c r="M104">
        <v>740102.64</v>
      </c>
      <c r="N104">
        <v>114299.07</v>
      </c>
      <c r="O104">
        <f t="shared" si="6"/>
        <v>0</v>
      </c>
      <c r="P104">
        <f t="shared" si="7"/>
        <v>0</v>
      </c>
      <c r="Q104">
        <f t="shared" si="8"/>
        <v>0</v>
      </c>
      <c r="R104">
        <f t="shared" si="9"/>
        <v>0</v>
      </c>
      <c r="S104">
        <f t="shared" si="10"/>
        <v>1</v>
      </c>
      <c r="T104">
        <f t="shared" si="11"/>
        <v>0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>
        <v>0</v>
      </c>
      <c r="L105" s="4">
        <v>5</v>
      </c>
      <c r="M105">
        <v>625514.04</v>
      </c>
      <c r="N105">
        <v>120685.08</v>
      </c>
      <c r="O105">
        <f t="shared" si="6"/>
        <v>0</v>
      </c>
      <c r="P105">
        <f t="shared" si="7"/>
        <v>0</v>
      </c>
      <c r="Q105">
        <f t="shared" si="8"/>
        <v>0</v>
      </c>
      <c r="R105">
        <f t="shared" si="9"/>
        <v>0</v>
      </c>
      <c r="S105">
        <f t="shared" si="10"/>
        <v>1</v>
      </c>
      <c r="T105">
        <f t="shared" si="11"/>
        <v>0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>
        <v>0</v>
      </c>
      <c r="L106" s="4">
        <v>2.9</v>
      </c>
      <c r="M106">
        <v>727227.2</v>
      </c>
      <c r="N106">
        <v>121292.01</v>
      </c>
      <c r="O106">
        <f t="shared" si="6"/>
        <v>0</v>
      </c>
      <c r="P106">
        <f t="shared" si="7"/>
        <v>0</v>
      </c>
      <c r="Q106">
        <f t="shared" si="8"/>
        <v>1</v>
      </c>
      <c r="R106">
        <f t="shared" si="9"/>
        <v>0</v>
      </c>
      <c r="S106">
        <f t="shared" si="10"/>
        <v>0</v>
      </c>
      <c r="T106">
        <f t="shared" si="11"/>
        <v>0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>
        <v>0</v>
      </c>
      <c r="L107" s="4">
        <v>3</v>
      </c>
      <c r="M107">
        <v>783797.89</v>
      </c>
      <c r="N107">
        <v>157620.70000000001</v>
      </c>
      <c r="O107">
        <f t="shared" si="6"/>
        <v>0</v>
      </c>
      <c r="P107">
        <f t="shared" si="7"/>
        <v>0</v>
      </c>
      <c r="Q107">
        <f t="shared" si="8"/>
        <v>1</v>
      </c>
      <c r="R107">
        <f t="shared" si="9"/>
        <v>0</v>
      </c>
      <c r="S107">
        <f t="shared" si="10"/>
        <v>0</v>
      </c>
      <c r="T107">
        <f t="shared" si="11"/>
        <v>0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>
        <v>0</v>
      </c>
      <c r="L108" s="4">
        <v>3</v>
      </c>
      <c r="M108">
        <v>795153.84</v>
      </c>
      <c r="N108">
        <v>143194.21</v>
      </c>
      <c r="O108">
        <f t="shared" si="6"/>
        <v>0</v>
      </c>
      <c r="P108">
        <f t="shared" si="7"/>
        <v>0</v>
      </c>
      <c r="Q108">
        <f t="shared" si="8"/>
        <v>1</v>
      </c>
      <c r="R108">
        <f t="shared" si="9"/>
        <v>0</v>
      </c>
      <c r="S108">
        <f t="shared" si="10"/>
        <v>0</v>
      </c>
      <c r="T108">
        <f t="shared" si="11"/>
        <v>0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>
        <v>0</v>
      </c>
      <c r="L109" s="4">
        <v>3.2</v>
      </c>
      <c r="M109">
        <v>665594.93999999994</v>
      </c>
      <c r="N109">
        <v>127597.34</v>
      </c>
      <c r="O109">
        <f t="shared" si="6"/>
        <v>0</v>
      </c>
      <c r="P109">
        <f t="shared" si="7"/>
        <v>0</v>
      </c>
      <c r="Q109">
        <f t="shared" si="8"/>
        <v>1</v>
      </c>
      <c r="R109">
        <f t="shared" si="9"/>
        <v>0</v>
      </c>
      <c r="S109">
        <f t="shared" si="10"/>
        <v>0</v>
      </c>
      <c r="T109">
        <f t="shared" si="11"/>
        <v>0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>
        <v>1</v>
      </c>
      <c r="L110" s="4">
        <v>3.8</v>
      </c>
      <c r="M110">
        <v>709478.39</v>
      </c>
      <c r="N110">
        <v>71294.27</v>
      </c>
      <c r="O110">
        <f t="shared" si="6"/>
        <v>0</v>
      </c>
      <c r="P110">
        <f t="shared" si="7"/>
        <v>0</v>
      </c>
      <c r="Q110">
        <f t="shared" si="8"/>
        <v>0</v>
      </c>
      <c r="R110">
        <f t="shared" si="9"/>
        <v>0</v>
      </c>
      <c r="S110">
        <f t="shared" si="10"/>
        <v>1</v>
      </c>
      <c r="T110">
        <f t="shared" si="11"/>
        <v>0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>
        <v>0</v>
      </c>
      <c r="L111" s="4">
        <v>3.8</v>
      </c>
      <c r="M111">
        <v>664162.49</v>
      </c>
      <c r="N111">
        <v>98291.06</v>
      </c>
      <c r="O111">
        <f t="shared" si="6"/>
        <v>0</v>
      </c>
      <c r="P111">
        <f t="shared" si="7"/>
        <v>0</v>
      </c>
      <c r="Q111">
        <f t="shared" si="8"/>
        <v>0</v>
      </c>
      <c r="R111">
        <f t="shared" si="9"/>
        <v>0</v>
      </c>
      <c r="S111">
        <f t="shared" si="10"/>
        <v>1</v>
      </c>
      <c r="T111">
        <f t="shared" si="11"/>
        <v>0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>
        <v>0</v>
      </c>
      <c r="L112" s="4">
        <v>4.2</v>
      </c>
      <c r="M112">
        <v>633494.21</v>
      </c>
      <c r="N112">
        <v>105739.47</v>
      </c>
      <c r="O112">
        <f t="shared" si="6"/>
        <v>0</v>
      </c>
      <c r="P112">
        <f t="shared" si="7"/>
        <v>0</v>
      </c>
      <c r="Q112">
        <f t="shared" si="8"/>
        <v>0</v>
      </c>
      <c r="R112">
        <f t="shared" si="9"/>
        <v>0</v>
      </c>
      <c r="S112">
        <f t="shared" si="10"/>
        <v>1</v>
      </c>
      <c r="T112">
        <f t="shared" si="11"/>
        <v>0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>
        <v>0</v>
      </c>
      <c r="L113" s="4">
        <v>3.5</v>
      </c>
      <c r="M113">
        <v>713611.16</v>
      </c>
      <c r="N113">
        <v>129717.18</v>
      </c>
      <c r="O113">
        <f t="shared" si="6"/>
        <v>0</v>
      </c>
      <c r="P113">
        <f t="shared" si="7"/>
        <v>0</v>
      </c>
      <c r="Q113">
        <f t="shared" si="8"/>
        <v>0</v>
      </c>
      <c r="R113">
        <f t="shared" si="9"/>
        <v>0</v>
      </c>
      <c r="S113">
        <f t="shared" si="10"/>
        <v>1</v>
      </c>
      <c r="T113">
        <f t="shared" si="11"/>
        <v>0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>
        <v>0</v>
      </c>
      <c r="L114" s="4">
        <v>3.1</v>
      </c>
      <c r="M114">
        <v>778397.97</v>
      </c>
      <c r="N114">
        <v>120044.41</v>
      </c>
      <c r="O114">
        <f t="shared" si="6"/>
        <v>0</v>
      </c>
      <c r="P114">
        <f t="shared" si="7"/>
        <v>0</v>
      </c>
      <c r="Q114">
        <f t="shared" si="8"/>
        <v>1</v>
      </c>
      <c r="R114">
        <f t="shared" si="9"/>
        <v>0</v>
      </c>
      <c r="S114">
        <f t="shared" si="10"/>
        <v>1</v>
      </c>
      <c r="T114">
        <f t="shared" si="11"/>
        <v>0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>
        <v>0</v>
      </c>
      <c r="L115" s="4">
        <v>3.5</v>
      </c>
      <c r="M115">
        <v>873380.02</v>
      </c>
      <c r="N115">
        <v>149734.76</v>
      </c>
      <c r="O115">
        <f t="shared" si="6"/>
        <v>0</v>
      </c>
      <c r="P115">
        <f t="shared" si="7"/>
        <v>0</v>
      </c>
      <c r="Q115">
        <f t="shared" si="8"/>
        <v>1</v>
      </c>
      <c r="R115">
        <f t="shared" si="9"/>
        <v>0</v>
      </c>
      <c r="S115">
        <f t="shared" si="10"/>
        <v>1</v>
      </c>
      <c r="T115">
        <f t="shared" si="11"/>
        <v>0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>
        <v>0</v>
      </c>
      <c r="L116" s="4">
        <v>2.8</v>
      </c>
      <c r="M116">
        <v>697287.9</v>
      </c>
      <c r="N116">
        <v>128208.33</v>
      </c>
      <c r="O116">
        <f t="shared" si="6"/>
        <v>0</v>
      </c>
      <c r="P116">
        <f t="shared" si="7"/>
        <v>0</v>
      </c>
      <c r="Q116">
        <f t="shared" si="8"/>
        <v>1</v>
      </c>
      <c r="R116">
        <f t="shared" si="9"/>
        <v>0</v>
      </c>
      <c r="S116">
        <f t="shared" si="10"/>
        <v>1</v>
      </c>
      <c r="T116">
        <f t="shared" si="11"/>
        <v>0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>
        <v>0</v>
      </c>
      <c r="L117" s="4">
        <v>3.3</v>
      </c>
      <c r="M117">
        <v>718074.79</v>
      </c>
      <c r="N117">
        <v>115819.87</v>
      </c>
      <c r="O117">
        <f t="shared" si="6"/>
        <v>0</v>
      </c>
      <c r="P117">
        <f t="shared" si="7"/>
        <v>0</v>
      </c>
      <c r="Q117">
        <f t="shared" si="8"/>
        <v>1</v>
      </c>
      <c r="R117">
        <f t="shared" si="9"/>
        <v>0</v>
      </c>
      <c r="S117">
        <f t="shared" si="10"/>
        <v>1</v>
      </c>
      <c r="T117">
        <f t="shared" si="11"/>
        <v>0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>
        <v>1</v>
      </c>
      <c r="L118" s="4">
        <v>4.7</v>
      </c>
      <c r="M118">
        <v>714942.43</v>
      </c>
      <c r="N118">
        <v>94697.71</v>
      </c>
      <c r="O118">
        <f t="shared" si="6"/>
        <v>0</v>
      </c>
      <c r="P118">
        <f t="shared" si="7"/>
        <v>0</v>
      </c>
      <c r="Q118">
        <f t="shared" si="8"/>
        <v>1</v>
      </c>
      <c r="R118">
        <f t="shared" si="9"/>
        <v>0</v>
      </c>
      <c r="S118">
        <f t="shared" si="10"/>
        <v>0</v>
      </c>
      <c r="T118">
        <f t="shared" si="11"/>
        <v>1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>
        <v>0</v>
      </c>
      <c r="L119" s="4">
        <v>4.7</v>
      </c>
      <c r="M119">
        <v>820519.04</v>
      </c>
      <c r="N119">
        <v>99035.88</v>
      </c>
      <c r="O119">
        <f t="shared" si="6"/>
        <v>0</v>
      </c>
      <c r="P119">
        <f t="shared" si="7"/>
        <v>0</v>
      </c>
      <c r="Q119">
        <f t="shared" si="8"/>
        <v>1</v>
      </c>
      <c r="R119">
        <f t="shared" si="9"/>
        <v>0</v>
      </c>
      <c r="S119">
        <f t="shared" si="10"/>
        <v>0</v>
      </c>
      <c r="T119">
        <f t="shared" si="11"/>
        <v>1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>
        <v>0</v>
      </c>
      <c r="L120" s="4">
        <v>4.5999999999999996</v>
      </c>
      <c r="M120">
        <v>684217.32</v>
      </c>
      <c r="N120">
        <v>136217.19</v>
      </c>
      <c r="O120">
        <f t="shared" si="6"/>
        <v>0</v>
      </c>
      <c r="P120">
        <f t="shared" si="7"/>
        <v>0</v>
      </c>
      <c r="Q120">
        <f t="shared" si="8"/>
        <v>1</v>
      </c>
      <c r="R120">
        <f t="shared" si="9"/>
        <v>0</v>
      </c>
      <c r="S120">
        <f t="shared" si="10"/>
        <v>0</v>
      </c>
      <c r="T120">
        <f t="shared" si="11"/>
        <v>1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>
        <v>0</v>
      </c>
      <c r="L121" s="4">
        <v>4.7</v>
      </c>
      <c r="M121">
        <v>735480.19</v>
      </c>
      <c r="N121">
        <v>88342.11</v>
      </c>
      <c r="O121">
        <f t="shared" si="6"/>
        <v>0</v>
      </c>
      <c r="P121">
        <f t="shared" si="7"/>
        <v>0</v>
      </c>
      <c r="Q121">
        <f t="shared" si="8"/>
        <v>1</v>
      </c>
      <c r="R121">
        <f t="shared" si="9"/>
        <v>0</v>
      </c>
      <c r="S121">
        <f t="shared" si="10"/>
        <v>0</v>
      </c>
      <c r="T121">
        <f t="shared" si="11"/>
        <v>1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>
        <v>0</v>
      </c>
      <c r="L122" s="4">
        <v>4.4000000000000004</v>
      </c>
      <c r="M122">
        <v>509484.81</v>
      </c>
      <c r="N122">
        <v>85742.36</v>
      </c>
      <c r="O122">
        <f t="shared" si="6"/>
        <v>1</v>
      </c>
      <c r="P122">
        <f t="shared" si="7"/>
        <v>0</v>
      </c>
      <c r="Q122">
        <f t="shared" si="8"/>
        <v>0</v>
      </c>
      <c r="R122">
        <f t="shared" si="9"/>
        <v>0</v>
      </c>
      <c r="S122">
        <f t="shared" si="10"/>
        <v>0</v>
      </c>
      <c r="T122">
        <f t="shared" si="11"/>
        <v>0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>
        <v>0</v>
      </c>
      <c r="L123" s="4">
        <v>3.7</v>
      </c>
      <c r="M123">
        <v>654317.09</v>
      </c>
      <c r="N123">
        <v>121446.89</v>
      </c>
      <c r="O123">
        <f t="shared" si="6"/>
        <v>1</v>
      </c>
      <c r="P123">
        <f t="shared" si="7"/>
        <v>0</v>
      </c>
      <c r="Q123">
        <f t="shared" si="8"/>
        <v>0</v>
      </c>
      <c r="R123">
        <f t="shared" si="9"/>
        <v>0</v>
      </c>
      <c r="S123">
        <f t="shared" si="10"/>
        <v>0</v>
      </c>
      <c r="T123">
        <f t="shared" si="11"/>
        <v>0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>
        <v>0</v>
      </c>
      <c r="L124" s="4">
        <v>3.9</v>
      </c>
      <c r="M124">
        <v>557487.26</v>
      </c>
      <c r="N124">
        <v>76432.19</v>
      </c>
      <c r="O124">
        <f t="shared" si="6"/>
        <v>1</v>
      </c>
      <c r="P124">
        <f t="shared" si="7"/>
        <v>0</v>
      </c>
      <c r="Q124">
        <f t="shared" si="8"/>
        <v>0</v>
      </c>
      <c r="R124">
        <f t="shared" si="9"/>
        <v>0</v>
      </c>
      <c r="S124">
        <f t="shared" si="10"/>
        <v>0</v>
      </c>
      <c r="T124">
        <f t="shared" si="11"/>
        <v>0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>
        <v>0</v>
      </c>
      <c r="L125" s="4">
        <v>4.4000000000000004</v>
      </c>
      <c r="M125">
        <v>441275.42</v>
      </c>
      <c r="N125">
        <v>58234.87</v>
      </c>
      <c r="O125">
        <f t="shared" si="6"/>
        <v>1</v>
      </c>
      <c r="P125">
        <f t="shared" si="7"/>
        <v>0</v>
      </c>
      <c r="Q125">
        <f t="shared" si="8"/>
        <v>0</v>
      </c>
      <c r="R125">
        <f t="shared" si="9"/>
        <v>0</v>
      </c>
      <c r="S125">
        <f t="shared" si="10"/>
        <v>0</v>
      </c>
      <c r="T125">
        <f t="shared" si="11"/>
        <v>0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>
        <v>1</v>
      </c>
      <c r="L126" s="4">
        <v>4.8</v>
      </c>
      <c r="M126">
        <v>914544.17</v>
      </c>
      <c r="N126">
        <v>79831.73</v>
      </c>
      <c r="O126">
        <f t="shared" si="6"/>
        <v>0</v>
      </c>
      <c r="P126">
        <f t="shared" si="7"/>
        <v>1</v>
      </c>
      <c r="Q126">
        <f t="shared" si="8"/>
        <v>0</v>
      </c>
      <c r="R126">
        <f t="shared" si="9"/>
        <v>0</v>
      </c>
      <c r="S126">
        <f t="shared" si="10"/>
        <v>0</v>
      </c>
      <c r="T126">
        <f t="shared" si="11"/>
        <v>0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>
        <v>0</v>
      </c>
      <c r="L127" s="4">
        <v>4.4000000000000004</v>
      </c>
      <c r="M127">
        <v>842439.67</v>
      </c>
      <c r="N127">
        <v>169983.63</v>
      </c>
      <c r="O127">
        <f t="shared" si="6"/>
        <v>0</v>
      </c>
      <c r="P127">
        <f t="shared" si="7"/>
        <v>1</v>
      </c>
      <c r="Q127">
        <f t="shared" si="8"/>
        <v>0</v>
      </c>
      <c r="R127">
        <f t="shared" si="9"/>
        <v>0</v>
      </c>
      <c r="S127">
        <f t="shared" si="10"/>
        <v>0</v>
      </c>
      <c r="T127">
        <f t="shared" si="11"/>
        <v>0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>
        <v>1</v>
      </c>
      <c r="L128" s="4">
        <v>4.9000000000000004</v>
      </c>
      <c r="M128">
        <v>842157.92</v>
      </c>
      <c r="N128">
        <v>107348.22</v>
      </c>
      <c r="O128">
        <f t="shared" si="6"/>
        <v>0</v>
      </c>
      <c r="P128">
        <f t="shared" si="7"/>
        <v>1</v>
      </c>
      <c r="Q128">
        <f t="shared" si="8"/>
        <v>0</v>
      </c>
      <c r="R128">
        <f t="shared" si="9"/>
        <v>0</v>
      </c>
      <c r="S128">
        <f t="shared" si="10"/>
        <v>0</v>
      </c>
      <c r="T128">
        <f t="shared" si="11"/>
        <v>0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>
        <v>0</v>
      </c>
      <c r="L129" s="4">
        <v>4.8</v>
      </c>
      <c r="M129">
        <v>697155.3</v>
      </c>
      <c r="N129">
        <v>136408.54</v>
      </c>
      <c r="O129">
        <f t="shared" si="6"/>
        <v>0</v>
      </c>
      <c r="P129">
        <f t="shared" si="7"/>
        <v>1</v>
      </c>
      <c r="Q129">
        <f t="shared" si="8"/>
        <v>0</v>
      </c>
      <c r="R129">
        <f t="shared" si="9"/>
        <v>0</v>
      </c>
      <c r="S129">
        <f t="shared" si="10"/>
        <v>0</v>
      </c>
      <c r="T129">
        <f t="shared" si="11"/>
        <v>0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>
        <v>1</v>
      </c>
      <c r="L130" s="4">
        <v>4.4000000000000004</v>
      </c>
      <c r="M130">
        <v>849018.3</v>
      </c>
      <c r="N130">
        <v>149035.13</v>
      </c>
      <c r="O130">
        <f t="shared" si="6"/>
        <v>0</v>
      </c>
      <c r="P130">
        <f t="shared" si="7"/>
        <v>0</v>
      </c>
      <c r="Q130">
        <f t="shared" si="8"/>
        <v>0</v>
      </c>
      <c r="R130">
        <f t="shared" si="9"/>
        <v>0</v>
      </c>
      <c r="S130">
        <f t="shared" si="10"/>
        <v>0</v>
      </c>
      <c r="T130">
        <f t="shared" si="11"/>
        <v>0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>
        <v>0</v>
      </c>
      <c r="L131" s="4">
        <v>4</v>
      </c>
      <c r="M131">
        <v>801830.35</v>
      </c>
      <c r="N131">
        <v>114875.32</v>
      </c>
      <c r="O131">
        <f t="shared" ref="O131:O194" si="12">IF(C131="North",1,0)</f>
        <v>0</v>
      </c>
      <c r="P131">
        <f t="shared" ref="P131:P194" si="13">IF(C131="South",1,0)</f>
        <v>0</v>
      </c>
      <c r="Q131">
        <f t="shared" ref="Q131:Q194" si="14">IF(C131="West",1,0)</f>
        <v>0</v>
      </c>
      <c r="R131">
        <f t="shared" ref="R131:R194" si="15">IF(D131="Airport",1,0)</f>
        <v>0</v>
      </c>
      <c r="S131">
        <f t="shared" ref="S131:S194" si="16">IF(D131="Mall",1,0)</f>
        <v>0</v>
      </c>
      <c r="T131">
        <f t="shared" ref="T131:T194" si="17">IF(D131="Residential",1,0)</f>
        <v>0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>
        <v>1</v>
      </c>
      <c r="L132" s="4">
        <v>4.5</v>
      </c>
      <c r="M132">
        <v>725235.28</v>
      </c>
      <c r="N132">
        <v>121632.24</v>
      </c>
      <c r="O132">
        <f t="shared" si="12"/>
        <v>0</v>
      </c>
      <c r="P132">
        <f t="shared" si="13"/>
        <v>0</v>
      </c>
      <c r="Q132">
        <f t="shared" si="14"/>
        <v>0</v>
      </c>
      <c r="R132">
        <f t="shared" si="15"/>
        <v>0</v>
      </c>
      <c r="S132">
        <f t="shared" si="16"/>
        <v>0</v>
      </c>
      <c r="T132">
        <f t="shared" si="17"/>
        <v>0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>
        <v>0</v>
      </c>
      <c r="L133" s="4">
        <v>4.5</v>
      </c>
      <c r="M133">
        <v>811452.72</v>
      </c>
      <c r="N133">
        <v>131325.67000000001</v>
      </c>
      <c r="O133">
        <f t="shared" si="12"/>
        <v>0</v>
      </c>
      <c r="P133">
        <f t="shared" si="13"/>
        <v>0</v>
      </c>
      <c r="Q133">
        <f t="shared" si="14"/>
        <v>0</v>
      </c>
      <c r="R133">
        <f t="shared" si="15"/>
        <v>0</v>
      </c>
      <c r="S133">
        <f t="shared" si="16"/>
        <v>0</v>
      </c>
      <c r="T133">
        <f t="shared" si="17"/>
        <v>0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>
        <v>0</v>
      </c>
      <c r="L134" s="4">
        <v>4.4000000000000004</v>
      </c>
      <c r="M134">
        <v>527300.13</v>
      </c>
      <c r="N134">
        <v>84197.87</v>
      </c>
      <c r="O134">
        <f t="shared" si="12"/>
        <v>1</v>
      </c>
      <c r="P134">
        <f t="shared" si="13"/>
        <v>0</v>
      </c>
      <c r="Q134">
        <f t="shared" si="14"/>
        <v>0</v>
      </c>
      <c r="R134">
        <f t="shared" si="15"/>
        <v>0</v>
      </c>
      <c r="S134">
        <f t="shared" si="16"/>
        <v>0</v>
      </c>
      <c r="T134">
        <f t="shared" si="17"/>
        <v>0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>
        <v>0</v>
      </c>
      <c r="L135" s="4"/>
      <c r="M135">
        <v>400831.65</v>
      </c>
      <c r="N135">
        <v>70979.31</v>
      </c>
      <c r="O135">
        <f t="shared" si="12"/>
        <v>1</v>
      </c>
      <c r="P135">
        <f t="shared" si="13"/>
        <v>0</v>
      </c>
      <c r="Q135">
        <f t="shared" si="14"/>
        <v>0</v>
      </c>
      <c r="R135">
        <f t="shared" si="15"/>
        <v>0</v>
      </c>
      <c r="S135">
        <f t="shared" si="16"/>
        <v>0</v>
      </c>
      <c r="T135">
        <f t="shared" si="17"/>
        <v>0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>
        <v>1</v>
      </c>
      <c r="L136" s="4">
        <v>4.4000000000000004</v>
      </c>
      <c r="M136">
        <v>593247.25</v>
      </c>
      <c r="N136">
        <v>81240.289999999994</v>
      </c>
      <c r="O136">
        <f t="shared" si="12"/>
        <v>1</v>
      </c>
      <c r="P136">
        <f t="shared" si="13"/>
        <v>0</v>
      </c>
      <c r="Q136">
        <f t="shared" si="14"/>
        <v>0</v>
      </c>
      <c r="R136">
        <f t="shared" si="15"/>
        <v>0</v>
      </c>
      <c r="S136">
        <f t="shared" si="16"/>
        <v>0</v>
      </c>
      <c r="T136">
        <f t="shared" si="17"/>
        <v>0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>
        <v>0</v>
      </c>
      <c r="L137" s="4">
        <v>4.5999999999999996</v>
      </c>
      <c r="M137">
        <v>529075.94999999995</v>
      </c>
      <c r="N137">
        <v>95978.83</v>
      </c>
      <c r="O137">
        <f t="shared" si="12"/>
        <v>1</v>
      </c>
      <c r="P137">
        <f t="shared" si="13"/>
        <v>0</v>
      </c>
      <c r="Q137">
        <f t="shared" si="14"/>
        <v>0</v>
      </c>
      <c r="R137">
        <f t="shared" si="15"/>
        <v>0</v>
      </c>
      <c r="S137">
        <f t="shared" si="16"/>
        <v>0</v>
      </c>
      <c r="T137">
        <f t="shared" si="17"/>
        <v>0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>
        <v>0</v>
      </c>
      <c r="L138" s="4"/>
      <c r="M138">
        <v>633638.03</v>
      </c>
      <c r="N138">
        <v>99402.01</v>
      </c>
      <c r="O138">
        <f t="shared" si="12"/>
        <v>0</v>
      </c>
      <c r="P138">
        <f t="shared" si="13"/>
        <v>1</v>
      </c>
      <c r="Q138">
        <f t="shared" si="14"/>
        <v>0</v>
      </c>
      <c r="R138">
        <f t="shared" si="15"/>
        <v>0</v>
      </c>
      <c r="S138">
        <f t="shared" si="16"/>
        <v>0</v>
      </c>
      <c r="T138">
        <f t="shared" si="17"/>
        <v>1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>
        <v>0</v>
      </c>
      <c r="L139" s="4">
        <v>3.7</v>
      </c>
      <c r="M139">
        <v>743348.84</v>
      </c>
      <c r="N139">
        <v>104186.09</v>
      </c>
      <c r="O139">
        <f t="shared" si="12"/>
        <v>0</v>
      </c>
      <c r="P139">
        <f t="shared" si="13"/>
        <v>1</v>
      </c>
      <c r="Q139">
        <f t="shared" si="14"/>
        <v>0</v>
      </c>
      <c r="R139">
        <f t="shared" si="15"/>
        <v>0</v>
      </c>
      <c r="S139">
        <f t="shared" si="16"/>
        <v>0</v>
      </c>
      <c r="T139">
        <f t="shared" si="17"/>
        <v>1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>
        <v>1</v>
      </c>
      <c r="L140" s="4">
        <v>3.3</v>
      </c>
      <c r="M140">
        <v>758827.64</v>
      </c>
      <c r="N140">
        <v>161439.48000000001</v>
      </c>
      <c r="O140">
        <f t="shared" si="12"/>
        <v>0</v>
      </c>
      <c r="P140">
        <f t="shared" si="13"/>
        <v>1</v>
      </c>
      <c r="Q140">
        <f t="shared" si="14"/>
        <v>0</v>
      </c>
      <c r="R140">
        <f t="shared" si="15"/>
        <v>0</v>
      </c>
      <c r="S140">
        <f t="shared" si="16"/>
        <v>0</v>
      </c>
      <c r="T140">
        <f t="shared" si="17"/>
        <v>1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>
        <v>0</v>
      </c>
      <c r="L141" s="4">
        <v>3.6</v>
      </c>
      <c r="M141">
        <v>646559.71</v>
      </c>
      <c r="N141">
        <v>97981.75</v>
      </c>
      <c r="O141">
        <f t="shared" si="12"/>
        <v>0</v>
      </c>
      <c r="P141">
        <f t="shared" si="13"/>
        <v>1</v>
      </c>
      <c r="Q141">
        <f t="shared" si="14"/>
        <v>0</v>
      </c>
      <c r="R141">
        <f t="shared" si="15"/>
        <v>0</v>
      </c>
      <c r="S141">
        <f t="shared" si="16"/>
        <v>0</v>
      </c>
      <c r="T141">
        <f t="shared" si="17"/>
        <v>1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>
        <v>0</v>
      </c>
      <c r="L142" s="4">
        <v>4.0999999999999996</v>
      </c>
      <c r="M142">
        <v>715890.53</v>
      </c>
      <c r="N142">
        <v>109032.15</v>
      </c>
      <c r="O142">
        <f t="shared" si="12"/>
        <v>0</v>
      </c>
      <c r="P142">
        <f t="shared" si="13"/>
        <v>0</v>
      </c>
      <c r="Q142">
        <f t="shared" si="14"/>
        <v>1</v>
      </c>
      <c r="R142">
        <f t="shared" si="15"/>
        <v>0</v>
      </c>
      <c r="S142">
        <f t="shared" si="16"/>
        <v>0</v>
      </c>
      <c r="T142">
        <f t="shared" si="17"/>
        <v>0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>
        <v>0</v>
      </c>
      <c r="L143" s="4">
        <v>4.2</v>
      </c>
      <c r="M143">
        <v>715097.57</v>
      </c>
      <c r="N143">
        <v>151875.85999999999</v>
      </c>
      <c r="O143">
        <f t="shared" si="12"/>
        <v>0</v>
      </c>
      <c r="P143">
        <f t="shared" si="13"/>
        <v>0</v>
      </c>
      <c r="Q143">
        <f t="shared" si="14"/>
        <v>1</v>
      </c>
      <c r="R143">
        <f t="shared" si="15"/>
        <v>0</v>
      </c>
      <c r="S143">
        <f t="shared" si="16"/>
        <v>0</v>
      </c>
      <c r="T143">
        <f t="shared" si="17"/>
        <v>0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>
        <v>0</v>
      </c>
      <c r="L144" s="4">
        <v>3.8</v>
      </c>
      <c r="M144">
        <v>682639.28</v>
      </c>
      <c r="N144">
        <v>77557.53</v>
      </c>
      <c r="O144">
        <f t="shared" si="12"/>
        <v>0</v>
      </c>
      <c r="P144">
        <f t="shared" si="13"/>
        <v>0</v>
      </c>
      <c r="Q144">
        <f t="shared" si="14"/>
        <v>1</v>
      </c>
      <c r="R144">
        <f t="shared" si="15"/>
        <v>0</v>
      </c>
      <c r="S144">
        <f t="shared" si="16"/>
        <v>0</v>
      </c>
      <c r="T144">
        <f t="shared" si="17"/>
        <v>0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>
        <v>0</v>
      </c>
      <c r="L145" s="4">
        <v>3.9</v>
      </c>
      <c r="M145">
        <v>695098.51</v>
      </c>
      <c r="N145">
        <v>108192.75</v>
      </c>
      <c r="O145">
        <f t="shared" si="12"/>
        <v>0</v>
      </c>
      <c r="P145">
        <f t="shared" si="13"/>
        <v>0</v>
      </c>
      <c r="Q145">
        <f t="shared" si="14"/>
        <v>1</v>
      </c>
      <c r="R145">
        <f t="shared" si="15"/>
        <v>0</v>
      </c>
      <c r="S145">
        <f t="shared" si="16"/>
        <v>0</v>
      </c>
      <c r="T145">
        <f t="shared" si="17"/>
        <v>0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>
        <v>0</v>
      </c>
      <c r="L146" s="4">
        <v>3.2</v>
      </c>
      <c r="M146">
        <v>577732.56999999995</v>
      </c>
      <c r="N146">
        <v>93804.27</v>
      </c>
      <c r="O146">
        <f t="shared" si="12"/>
        <v>1</v>
      </c>
      <c r="P146">
        <f t="shared" si="13"/>
        <v>0</v>
      </c>
      <c r="Q146">
        <f t="shared" si="14"/>
        <v>0</v>
      </c>
      <c r="R146">
        <f t="shared" si="15"/>
        <v>0</v>
      </c>
      <c r="S146">
        <f t="shared" si="16"/>
        <v>0</v>
      </c>
      <c r="T146">
        <f t="shared" si="17"/>
        <v>1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>
        <v>0</v>
      </c>
      <c r="L147" s="4">
        <v>3.5</v>
      </c>
      <c r="M147">
        <v>537058.32999999996</v>
      </c>
      <c r="N147">
        <v>93555.71</v>
      </c>
      <c r="O147">
        <f t="shared" si="12"/>
        <v>1</v>
      </c>
      <c r="P147">
        <f t="shared" si="13"/>
        <v>0</v>
      </c>
      <c r="Q147">
        <f t="shared" si="14"/>
        <v>0</v>
      </c>
      <c r="R147">
        <f t="shared" si="15"/>
        <v>0</v>
      </c>
      <c r="S147">
        <f t="shared" si="16"/>
        <v>0</v>
      </c>
      <c r="T147">
        <f t="shared" si="17"/>
        <v>1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>
        <v>0</v>
      </c>
      <c r="L148" s="4">
        <v>3.4</v>
      </c>
      <c r="M148">
        <v>601568.87</v>
      </c>
      <c r="N148">
        <v>91634.82</v>
      </c>
      <c r="O148">
        <f t="shared" si="12"/>
        <v>1</v>
      </c>
      <c r="P148">
        <f t="shared" si="13"/>
        <v>0</v>
      </c>
      <c r="Q148">
        <f t="shared" si="14"/>
        <v>0</v>
      </c>
      <c r="R148">
        <f t="shared" si="15"/>
        <v>0</v>
      </c>
      <c r="S148">
        <f t="shared" si="16"/>
        <v>0</v>
      </c>
      <c r="T148">
        <f t="shared" si="17"/>
        <v>1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>
        <v>0</v>
      </c>
      <c r="L149" s="4">
        <v>3.4</v>
      </c>
      <c r="M149">
        <v>570964.84</v>
      </c>
      <c r="N149">
        <v>81331.070000000007</v>
      </c>
      <c r="O149">
        <f t="shared" si="12"/>
        <v>1</v>
      </c>
      <c r="P149">
        <f t="shared" si="13"/>
        <v>0</v>
      </c>
      <c r="Q149">
        <f t="shared" si="14"/>
        <v>0</v>
      </c>
      <c r="R149">
        <f t="shared" si="15"/>
        <v>0</v>
      </c>
      <c r="S149">
        <f t="shared" si="16"/>
        <v>0</v>
      </c>
      <c r="T149">
        <f t="shared" si="17"/>
        <v>1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>
        <v>0</v>
      </c>
      <c r="L150" s="4">
        <v>3.8</v>
      </c>
      <c r="M150">
        <v>614024.91</v>
      </c>
      <c r="N150">
        <v>84828.93</v>
      </c>
      <c r="O150">
        <f t="shared" si="12"/>
        <v>0</v>
      </c>
      <c r="P150">
        <f t="shared" si="13"/>
        <v>1</v>
      </c>
      <c r="Q150">
        <f t="shared" si="14"/>
        <v>0</v>
      </c>
      <c r="R150">
        <f t="shared" si="15"/>
        <v>0</v>
      </c>
      <c r="S150">
        <f t="shared" si="16"/>
        <v>1</v>
      </c>
      <c r="T150">
        <f t="shared" si="17"/>
        <v>0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>
        <v>0</v>
      </c>
      <c r="L151" s="4">
        <v>4.0999999999999996</v>
      </c>
      <c r="M151">
        <v>712868.35</v>
      </c>
      <c r="N151">
        <v>133650.51</v>
      </c>
      <c r="O151">
        <f t="shared" si="12"/>
        <v>0</v>
      </c>
      <c r="P151">
        <f t="shared" si="13"/>
        <v>1</v>
      </c>
      <c r="Q151">
        <f t="shared" si="14"/>
        <v>0</v>
      </c>
      <c r="R151">
        <f t="shared" si="15"/>
        <v>0</v>
      </c>
      <c r="S151">
        <f t="shared" si="16"/>
        <v>1</v>
      </c>
      <c r="T151">
        <f t="shared" si="17"/>
        <v>0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>
        <v>1</v>
      </c>
      <c r="L152" s="4">
        <v>3.7</v>
      </c>
      <c r="M152">
        <v>696744.15</v>
      </c>
      <c r="N152">
        <v>152230.09</v>
      </c>
      <c r="O152">
        <f t="shared" si="12"/>
        <v>0</v>
      </c>
      <c r="P152">
        <f t="shared" si="13"/>
        <v>1</v>
      </c>
      <c r="Q152">
        <f t="shared" si="14"/>
        <v>0</v>
      </c>
      <c r="R152">
        <f t="shared" si="15"/>
        <v>0</v>
      </c>
      <c r="S152">
        <f t="shared" si="16"/>
        <v>1</v>
      </c>
      <c r="T152">
        <f t="shared" si="17"/>
        <v>0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>
        <v>0</v>
      </c>
      <c r="L153" s="4">
        <v>4.0999999999999996</v>
      </c>
      <c r="M153">
        <v>725847.99</v>
      </c>
      <c r="N153">
        <v>122698.73</v>
      </c>
      <c r="O153">
        <f t="shared" si="12"/>
        <v>0</v>
      </c>
      <c r="P153">
        <f t="shared" si="13"/>
        <v>1</v>
      </c>
      <c r="Q153">
        <f t="shared" si="14"/>
        <v>0</v>
      </c>
      <c r="R153">
        <f t="shared" si="15"/>
        <v>0</v>
      </c>
      <c r="S153">
        <f t="shared" si="16"/>
        <v>1</v>
      </c>
      <c r="T153">
        <f t="shared" si="17"/>
        <v>0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>
        <v>0</v>
      </c>
      <c r="L154" s="4">
        <v>4.5</v>
      </c>
      <c r="M154">
        <v>785028.25</v>
      </c>
      <c r="N154">
        <v>110726.44</v>
      </c>
      <c r="O154">
        <f t="shared" si="12"/>
        <v>0</v>
      </c>
      <c r="P154">
        <f t="shared" si="13"/>
        <v>0</v>
      </c>
      <c r="Q154">
        <f t="shared" si="14"/>
        <v>0</v>
      </c>
      <c r="R154">
        <f t="shared" si="15"/>
        <v>0</v>
      </c>
      <c r="S154">
        <f t="shared" si="16"/>
        <v>0</v>
      </c>
      <c r="T154">
        <f t="shared" si="17"/>
        <v>0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>
        <v>0</v>
      </c>
      <c r="L155" s="4">
        <v>4.2</v>
      </c>
      <c r="M155">
        <v>698492.67</v>
      </c>
      <c r="N155">
        <v>117319.32</v>
      </c>
      <c r="O155">
        <f t="shared" si="12"/>
        <v>0</v>
      </c>
      <c r="P155">
        <f t="shared" si="13"/>
        <v>0</v>
      </c>
      <c r="Q155">
        <f t="shared" si="14"/>
        <v>0</v>
      </c>
      <c r="R155">
        <f t="shared" si="15"/>
        <v>0</v>
      </c>
      <c r="S155">
        <f t="shared" si="16"/>
        <v>0</v>
      </c>
      <c r="T155">
        <f t="shared" si="17"/>
        <v>0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>
        <v>0</v>
      </c>
      <c r="L156" s="4">
        <v>4.2</v>
      </c>
      <c r="M156">
        <v>685830.24</v>
      </c>
      <c r="N156">
        <v>128736.18</v>
      </c>
      <c r="O156">
        <f t="shared" si="12"/>
        <v>0</v>
      </c>
      <c r="P156">
        <f t="shared" si="13"/>
        <v>0</v>
      </c>
      <c r="Q156">
        <f t="shared" si="14"/>
        <v>0</v>
      </c>
      <c r="R156">
        <f t="shared" si="15"/>
        <v>0</v>
      </c>
      <c r="S156">
        <f t="shared" si="16"/>
        <v>0</v>
      </c>
      <c r="T156">
        <f t="shared" si="17"/>
        <v>0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>
        <v>0</v>
      </c>
      <c r="L157" s="4">
        <v>4.4000000000000004</v>
      </c>
      <c r="M157">
        <v>702318.94</v>
      </c>
      <c r="N157">
        <v>112829.29</v>
      </c>
      <c r="O157">
        <f t="shared" si="12"/>
        <v>0</v>
      </c>
      <c r="P157">
        <f t="shared" si="13"/>
        <v>0</v>
      </c>
      <c r="Q157">
        <f t="shared" si="14"/>
        <v>0</v>
      </c>
      <c r="R157">
        <f t="shared" si="15"/>
        <v>0</v>
      </c>
      <c r="S157">
        <f t="shared" si="16"/>
        <v>0</v>
      </c>
      <c r="T157">
        <f t="shared" si="17"/>
        <v>0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>
        <v>0</v>
      </c>
      <c r="L158" s="4">
        <v>3.9</v>
      </c>
      <c r="M158">
        <v>700078.32</v>
      </c>
      <c r="N158">
        <v>123707.58</v>
      </c>
      <c r="O158">
        <f t="shared" si="12"/>
        <v>1</v>
      </c>
      <c r="P158">
        <f t="shared" si="13"/>
        <v>0</v>
      </c>
      <c r="Q158">
        <f t="shared" si="14"/>
        <v>0</v>
      </c>
      <c r="R158">
        <f t="shared" si="15"/>
        <v>0</v>
      </c>
      <c r="S158">
        <f t="shared" si="16"/>
        <v>1</v>
      </c>
      <c r="T158">
        <f t="shared" si="17"/>
        <v>0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>
        <v>0</v>
      </c>
      <c r="L159" s="4">
        <v>3</v>
      </c>
      <c r="M159">
        <v>602002.31999999995</v>
      </c>
      <c r="N159">
        <v>110453.28</v>
      </c>
      <c r="O159">
        <f t="shared" si="12"/>
        <v>1</v>
      </c>
      <c r="P159">
        <f t="shared" si="13"/>
        <v>0</v>
      </c>
      <c r="Q159">
        <f t="shared" si="14"/>
        <v>0</v>
      </c>
      <c r="R159">
        <f t="shared" si="15"/>
        <v>0</v>
      </c>
      <c r="S159">
        <f t="shared" si="16"/>
        <v>1</v>
      </c>
      <c r="T159">
        <f t="shared" si="17"/>
        <v>0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>
        <v>0</v>
      </c>
      <c r="L160" s="4">
        <v>3.4</v>
      </c>
      <c r="M160">
        <v>724216.07</v>
      </c>
      <c r="N160">
        <v>100627.56</v>
      </c>
      <c r="O160">
        <f t="shared" si="12"/>
        <v>1</v>
      </c>
      <c r="P160">
        <f t="shared" si="13"/>
        <v>0</v>
      </c>
      <c r="Q160">
        <f t="shared" si="14"/>
        <v>0</v>
      </c>
      <c r="R160">
        <f t="shared" si="15"/>
        <v>0</v>
      </c>
      <c r="S160">
        <f t="shared" si="16"/>
        <v>1</v>
      </c>
      <c r="T160">
        <f t="shared" si="17"/>
        <v>0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>
        <v>0</v>
      </c>
      <c r="L161" s="4">
        <v>3.3</v>
      </c>
      <c r="M161">
        <v>620973.03</v>
      </c>
      <c r="N161">
        <v>72303.850000000006</v>
      </c>
      <c r="O161">
        <f t="shared" si="12"/>
        <v>1</v>
      </c>
      <c r="P161">
        <f t="shared" si="13"/>
        <v>0</v>
      </c>
      <c r="Q161">
        <f t="shared" si="14"/>
        <v>0</v>
      </c>
      <c r="R161">
        <f t="shared" si="15"/>
        <v>0</v>
      </c>
      <c r="S161">
        <f t="shared" si="16"/>
        <v>1</v>
      </c>
      <c r="T161">
        <f t="shared" si="17"/>
        <v>0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>
        <v>0</v>
      </c>
      <c r="L162" s="4">
        <v>4</v>
      </c>
      <c r="M162">
        <v>650480.06000000006</v>
      </c>
      <c r="N162">
        <v>109012.07</v>
      </c>
      <c r="O162">
        <f t="shared" si="12"/>
        <v>0</v>
      </c>
      <c r="P162">
        <f t="shared" si="13"/>
        <v>1</v>
      </c>
      <c r="Q162">
        <f t="shared" si="14"/>
        <v>0</v>
      </c>
      <c r="R162">
        <f t="shared" si="15"/>
        <v>0</v>
      </c>
      <c r="S162">
        <f t="shared" si="16"/>
        <v>0</v>
      </c>
      <c r="T162">
        <f t="shared" si="17"/>
        <v>0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>
        <v>0</v>
      </c>
      <c r="L163" s="4">
        <v>4.2</v>
      </c>
      <c r="M163">
        <v>778298.88</v>
      </c>
      <c r="N163">
        <v>130076.72</v>
      </c>
      <c r="O163">
        <f t="shared" si="12"/>
        <v>0</v>
      </c>
      <c r="P163">
        <f t="shared" si="13"/>
        <v>1</v>
      </c>
      <c r="Q163">
        <f t="shared" si="14"/>
        <v>0</v>
      </c>
      <c r="R163">
        <f t="shared" si="15"/>
        <v>0</v>
      </c>
      <c r="S163">
        <f t="shared" si="16"/>
        <v>0</v>
      </c>
      <c r="T163">
        <f t="shared" si="17"/>
        <v>0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J164" s="4"/>
      <c r="K164">
        <v>0</v>
      </c>
      <c r="L164" s="4">
        <v>4.2</v>
      </c>
      <c r="M164">
        <v>677096.71</v>
      </c>
      <c r="N164">
        <v>97174.11</v>
      </c>
      <c r="O164">
        <f t="shared" si="12"/>
        <v>0</v>
      </c>
      <c r="P164">
        <f t="shared" si="13"/>
        <v>1</v>
      </c>
      <c r="Q164">
        <f t="shared" si="14"/>
        <v>0</v>
      </c>
      <c r="R164">
        <f t="shared" si="15"/>
        <v>0</v>
      </c>
      <c r="S164">
        <f t="shared" si="16"/>
        <v>0</v>
      </c>
      <c r="T164">
        <f t="shared" si="17"/>
        <v>0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>
        <v>0</v>
      </c>
      <c r="L165" s="4">
        <v>4.3</v>
      </c>
      <c r="M165">
        <v>692008.64</v>
      </c>
      <c r="N165">
        <v>116337.87</v>
      </c>
      <c r="O165">
        <f t="shared" si="12"/>
        <v>0</v>
      </c>
      <c r="P165">
        <f t="shared" si="13"/>
        <v>1</v>
      </c>
      <c r="Q165">
        <f t="shared" si="14"/>
        <v>0</v>
      </c>
      <c r="R165">
        <f t="shared" si="15"/>
        <v>0</v>
      </c>
      <c r="S165">
        <f t="shared" si="16"/>
        <v>0</v>
      </c>
      <c r="T165">
        <f t="shared" si="17"/>
        <v>0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>
        <v>1</v>
      </c>
      <c r="L166" s="4">
        <v>4.3</v>
      </c>
      <c r="M166">
        <v>825797.91</v>
      </c>
      <c r="N166">
        <v>130945.24</v>
      </c>
      <c r="O166">
        <f t="shared" si="12"/>
        <v>1</v>
      </c>
      <c r="P166">
        <f t="shared" si="13"/>
        <v>0</v>
      </c>
      <c r="Q166">
        <f t="shared" si="14"/>
        <v>0</v>
      </c>
      <c r="R166">
        <f t="shared" si="15"/>
        <v>0</v>
      </c>
      <c r="S166">
        <f t="shared" si="16"/>
        <v>1</v>
      </c>
      <c r="T166">
        <f t="shared" si="17"/>
        <v>0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>
        <v>0</v>
      </c>
      <c r="L167" s="4">
        <v>4.2</v>
      </c>
      <c r="M167">
        <v>706285.52</v>
      </c>
      <c r="N167">
        <v>138014.72</v>
      </c>
      <c r="O167">
        <f t="shared" si="12"/>
        <v>1</v>
      </c>
      <c r="P167">
        <f t="shared" si="13"/>
        <v>0</v>
      </c>
      <c r="Q167">
        <f t="shared" si="14"/>
        <v>0</v>
      </c>
      <c r="R167">
        <f t="shared" si="15"/>
        <v>0</v>
      </c>
      <c r="S167">
        <f t="shared" si="16"/>
        <v>1</v>
      </c>
      <c r="T167">
        <f t="shared" si="17"/>
        <v>0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>
        <v>0</v>
      </c>
      <c r="L168" s="4">
        <v>4</v>
      </c>
      <c r="M168">
        <v>665534.69999999995</v>
      </c>
      <c r="N168">
        <v>113167.73</v>
      </c>
      <c r="O168">
        <f t="shared" si="12"/>
        <v>1</v>
      </c>
      <c r="P168">
        <f t="shared" si="13"/>
        <v>0</v>
      </c>
      <c r="Q168">
        <f t="shared" si="14"/>
        <v>0</v>
      </c>
      <c r="R168">
        <f t="shared" si="15"/>
        <v>0</v>
      </c>
      <c r="S168">
        <f t="shared" si="16"/>
        <v>1</v>
      </c>
      <c r="T168">
        <f t="shared" si="17"/>
        <v>0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>
        <v>0</v>
      </c>
      <c r="L169" s="4">
        <v>4.0999999999999996</v>
      </c>
      <c r="M169">
        <v>820729.29</v>
      </c>
      <c r="N169">
        <v>159325.47</v>
      </c>
      <c r="O169">
        <f t="shared" si="12"/>
        <v>1</v>
      </c>
      <c r="P169">
        <f t="shared" si="13"/>
        <v>0</v>
      </c>
      <c r="Q169">
        <f t="shared" si="14"/>
        <v>0</v>
      </c>
      <c r="R169">
        <f t="shared" si="15"/>
        <v>0</v>
      </c>
      <c r="S169">
        <f t="shared" si="16"/>
        <v>1</v>
      </c>
      <c r="T169">
        <f t="shared" si="17"/>
        <v>0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>
        <v>0</v>
      </c>
      <c r="L170" s="4">
        <v>4.9000000000000004</v>
      </c>
      <c r="M170">
        <v>739831.73</v>
      </c>
      <c r="N170">
        <v>119490.21</v>
      </c>
      <c r="O170">
        <f t="shared" si="12"/>
        <v>0</v>
      </c>
      <c r="P170">
        <f t="shared" si="13"/>
        <v>0</v>
      </c>
      <c r="Q170">
        <f t="shared" si="14"/>
        <v>0</v>
      </c>
      <c r="R170">
        <f t="shared" si="15"/>
        <v>0</v>
      </c>
      <c r="S170">
        <f t="shared" si="16"/>
        <v>0</v>
      </c>
      <c r="T170">
        <f t="shared" si="17"/>
        <v>1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>
        <v>0</v>
      </c>
      <c r="L171" s="4">
        <v>5</v>
      </c>
      <c r="M171">
        <v>593637.14</v>
      </c>
      <c r="N171">
        <v>106648.14</v>
      </c>
      <c r="O171">
        <f t="shared" si="12"/>
        <v>0</v>
      </c>
      <c r="P171">
        <f t="shared" si="13"/>
        <v>0</v>
      </c>
      <c r="Q171">
        <f t="shared" si="14"/>
        <v>0</v>
      </c>
      <c r="R171">
        <f t="shared" si="15"/>
        <v>0</v>
      </c>
      <c r="S171">
        <f t="shared" si="16"/>
        <v>0</v>
      </c>
      <c r="T171">
        <f t="shared" si="17"/>
        <v>1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>
        <v>0</v>
      </c>
      <c r="L172" s="4">
        <v>4.9000000000000004</v>
      </c>
      <c r="M172">
        <v>769702.76</v>
      </c>
      <c r="N172">
        <v>158697</v>
      </c>
      <c r="O172">
        <f t="shared" si="12"/>
        <v>0</v>
      </c>
      <c r="P172">
        <f t="shared" si="13"/>
        <v>0</v>
      </c>
      <c r="Q172">
        <f t="shared" si="14"/>
        <v>0</v>
      </c>
      <c r="R172">
        <f t="shared" si="15"/>
        <v>0</v>
      </c>
      <c r="S172">
        <f t="shared" si="16"/>
        <v>0</v>
      </c>
      <c r="T172">
        <f t="shared" si="17"/>
        <v>1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>
        <v>0</v>
      </c>
      <c r="L173" s="4">
        <v>4.4000000000000004</v>
      </c>
      <c r="M173">
        <v>679731.57</v>
      </c>
      <c r="N173">
        <v>121546.42</v>
      </c>
      <c r="O173">
        <f t="shared" si="12"/>
        <v>0</v>
      </c>
      <c r="P173">
        <f t="shared" si="13"/>
        <v>0</v>
      </c>
      <c r="Q173">
        <f t="shared" si="14"/>
        <v>0</v>
      </c>
      <c r="R173">
        <f t="shared" si="15"/>
        <v>0</v>
      </c>
      <c r="S173">
        <f t="shared" si="16"/>
        <v>0</v>
      </c>
      <c r="T173">
        <f t="shared" si="17"/>
        <v>1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>
        <v>0</v>
      </c>
      <c r="L174" s="4">
        <v>3.3</v>
      </c>
      <c r="M174">
        <v>780344.18</v>
      </c>
      <c r="N174">
        <v>118239.09</v>
      </c>
      <c r="O174">
        <f t="shared" si="12"/>
        <v>0</v>
      </c>
      <c r="P174">
        <f t="shared" si="13"/>
        <v>0</v>
      </c>
      <c r="Q174">
        <f t="shared" si="14"/>
        <v>0</v>
      </c>
      <c r="R174">
        <f t="shared" si="15"/>
        <v>0</v>
      </c>
      <c r="S174">
        <f t="shared" si="16"/>
        <v>0</v>
      </c>
      <c r="T174">
        <f t="shared" si="17"/>
        <v>1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>
        <v>0</v>
      </c>
      <c r="L175" s="4">
        <v>3.1</v>
      </c>
      <c r="M175">
        <v>721364.11</v>
      </c>
      <c r="N175">
        <v>147272.81</v>
      </c>
      <c r="O175">
        <f t="shared" si="12"/>
        <v>0</v>
      </c>
      <c r="P175">
        <f t="shared" si="13"/>
        <v>0</v>
      </c>
      <c r="Q175">
        <f t="shared" si="14"/>
        <v>0</v>
      </c>
      <c r="R175">
        <f t="shared" si="15"/>
        <v>0</v>
      </c>
      <c r="S175">
        <f t="shared" si="16"/>
        <v>0</v>
      </c>
      <c r="T175">
        <f t="shared" si="17"/>
        <v>1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>
        <v>0</v>
      </c>
      <c r="L176" s="4">
        <v>3.6</v>
      </c>
      <c r="M176">
        <v>758138.29</v>
      </c>
      <c r="N176">
        <v>132975.26</v>
      </c>
      <c r="O176">
        <f t="shared" si="12"/>
        <v>0</v>
      </c>
      <c r="P176">
        <f t="shared" si="13"/>
        <v>0</v>
      </c>
      <c r="Q176">
        <f t="shared" si="14"/>
        <v>0</v>
      </c>
      <c r="R176">
        <f t="shared" si="15"/>
        <v>0</v>
      </c>
      <c r="S176">
        <f t="shared" si="16"/>
        <v>0</v>
      </c>
      <c r="T176">
        <f t="shared" si="17"/>
        <v>1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>
        <v>0</v>
      </c>
      <c r="L177" s="4">
        <v>3.1</v>
      </c>
      <c r="M177">
        <v>804264</v>
      </c>
      <c r="N177">
        <v>167117.91</v>
      </c>
      <c r="O177">
        <f t="shared" si="12"/>
        <v>0</v>
      </c>
      <c r="P177">
        <f t="shared" si="13"/>
        <v>0</v>
      </c>
      <c r="Q177">
        <f t="shared" si="14"/>
        <v>0</v>
      </c>
      <c r="R177">
        <f t="shared" si="15"/>
        <v>0</v>
      </c>
      <c r="S177">
        <f t="shared" si="16"/>
        <v>0</v>
      </c>
      <c r="T177">
        <f t="shared" si="17"/>
        <v>1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>
        <v>1</v>
      </c>
      <c r="L178" s="4">
        <v>3.7</v>
      </c>
      <c r="M178">
        <v>887537.75</v>
      </c>
      <c r="N178">
        <v>160362.92000000001</v>
      </c>
      <c r="O178">
        <f t="shared" si="12"/>
        <v>0</v>
      </c>
      <c r="P178">
        <f t="shared" si="13"/>
        <v>0</v>
      </c>
      <c r="Q178">
        <f t="shared" si="14"/>
        <v>1</v>
      </c>
      <c r="R178">
        <f t="shared" si="15"/>
        <v>1</v>
      </c>
      <c r="S178">
        <f t="shared" si="16"/>
        <v>0</v>
      </c>
      <c r="T178">
        <f t="shared" si="17"/>
        <v>0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>
        <v>0</v>
      </c>
      <c r="L179" s="4">
        <v>4</v>
      </c>
      <c r="M179">
        <v>783582</v>
      </c>
      <c r="N179">
        <v>130670.93</v>
      </c>
      <c r="O179">
        <f t="shared" si="12"/>
        <v>0</v>
      </c>
      <c r="P179">
        <f t="shared" si="13"/>
        <v>0</v>
      </c>
      <c r="Q179">
        <f t="shared" si="14"/>
        <v>1</v>
      </c>
      <c r="R179">
        <f t="shared" si="15"/>
        <v>1</v>
      </c>
      <c r="S179">
        <f t="shared" si="16"/>
        <v>0</v>
      </c>
      <c r="T179">
        <f t="shared" si="17"/>
        <v>0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>
        <v>0</v>
      </c>
      <c r="L180" s="4">
        <v>4.0999999999999996</v>
      </c>
      <c r="M180">
        <v>781955.52</v>
      </c>
      <c r="N180">
        <v>152578.71</v>
      </c>
      <c r="O180">
        <f t="shared" si="12"/>
        <v>0</v>
      </c>
      <c r="P180">
        <f t="shared" si="13"/>
        <v>0</v>
      </c>
      <c r="Q180">
        <f t="shared" si="14"/>
        <v>1</v>
      </c>
      <c r="R180">
        <f t="shared" si="15"/>
        <v>1</v>
      </c>
      <c r="S180">
        <f t="shared" si="16"/>
        <v>0</v>
      </c>
      <c r="T180">
        <f t="shared" si="17"/>
        <v>0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>
        <v>0</v>
      </c>
      <c r="L181" s="4">
        <v>4.0999999999999996</v>
      </c>
      <c r="M181">
        <v>898031.04</v>
      </c>
      <c r="N181">
        <v>138666.5</v>
      </c>
      <c r="O181">
        <f t="shared" si="12"/>
        <v>0</v>
      </c>
      <c r="P181">
        <f t="shared" si="13"/>
        <v>0</v>
      </c>
      <c r="Q181">
        <f t="shared" si="14"/>
        <v>1</v>
      </c>
      <c r="R181">
        <f t="shared" si="15"/>
        <v>1</v>
      </c>
      <c r="S181">
        <f t="shared" si="16"/>
        <v>0</v>
      </c>
      <c r="T181">
        <f t="shared" si="17"/>
        <v>0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>
        <v>1</v>
      </c>
      <c r="L182" s="4">
        <v>3.9</v>
      </c>
      <c r="M182">
        <v>855341.28</v>
      </c>
      <c r="N182">
        <v>175823.8</v>
      </c>
      <c r="O182">
        <f t="shared" si="12"/>
        <v>0</v>
      </c>
      <c r="P182">
        <f t="shared" si="13"/>
        <v>0</v>
      </c>
      <c r="Q182">
        <f t="shared" si="14"/>
        <v>1</v>
      </c>
      <c r="R182">
        <f t="shared" si="15"/>
        <v>0</v>
      </c>
      <c r="S182">
        <f t="shared" si="16"/>
        <v>0</v>
      </c>
      <c r="T182">
        <f t="shared" si="17"/>
        <v>1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>
        <v>0</v>
      </c>
      <c r="L183" s="4">
        <v>3.6</v>
      </c>
      <c r="M183">
        <v>751393.88</v>
      </c>
      <c r="N183">
        <v>91480.320000000007</v>
      </c>
      <c r="O183">
        <f t="shared" si="12"/>
        <v>0</v>
      </c>
      <c r="P183">
        <f t="shared" si="13"/>
        <v>0</v>
      </c>
      <c r="Q183">
        <f t="shared" si="14"/>
        <v>1</v>
      </c>
      <c r="R183">
        <f t="shared" si="15"/>
        <v>0</v>
      </c>
      <c r="S183">
        <f t="shared" si="16"/>
        <v>0</v>
      </c>
      <c r="T183">
        <f t="shared" si="17"/>
        <v>1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>
        <v>1</v>
      </c>
      <c r="L184" s="4">
        <v>3.8</v>
      </c>
      <c r="M184">
        <v>761077.08</v>
      </c>
      <c r="N184">
        <v>113605.93</v>
      </c>
      <c r="O184">
        <f t="shared" si="12"/>
        <v>0</v>
      </c>
      <c r="P184">
        <f t="shared" si="13"/>
        <v>0</v>
      </c>
      <c r="Q184">
        <f t="shared" si="14"/>
        <v>1</v>
      </c>
      <c r="R184">
        <f t="shared" si="15"/>
        <v>0</v>
      </c>
      <c r="S184">
        <f t="shared" si="16"/>
        <v>0</v>
      </c>
      <c r="T184">
        <f t="shared" si="17"/>
        <v>1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>
        <v>0</v>
      </c>
      <c r="L185" s="4">
        <v>3.1</v>
      </c>
      <c r="M185">
        <v>819660.59</v>
      </c>
      <c r="N185">
        <v>172699.95</v>
      </c>
      <c r="O185">
        <f t="shared" si="12"/>
        <v>0</v>
      </c>
      <c r="P185">
        <f t="shared" si="13"/>
        <v>0</v>
      </c>
      <c r="Q185">
        <f t="shared" si="14"/>
        <v>1</v>
      </c>
      <c r="R185">
        <f t="shared" si="15"/>
        <v>0</v>
      </c>
      <c r="S185">
        <f t="shared" si="16"/>
        <v>0</v>
      </c>
      <c r="T185">
        <f t="shared" si="17"/>
        <v>1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>
        <v>0</v>
      </c>
      <c r="L186" s="4">
        <v>4.4000000000000004</v>
      </c>
      <c r="M186">
        <v>681855.56</v>
      </c>
      <c r="N186">
        <v>117645.61</v>
      </c>
      <c r="O186">
        <f t="shared" si="12"/>
        <v>1</v>
      </c>
      <c r="P186">
        <f t="shared" si="13"/>
        <v>0</v>
      </c>
      <c r="Q186">
        <f t="shared" si="14"/>
        <v>0</v>
      </c>
      <c r="R186">
        <f t="shared" si="15"/>
        <v>0</v>
      </c>
      <c r="S186">
        <f t="shared" si="16"/>
        <v>0</v>
      </c>
      <c r="T186">
        <f t="shared" si="17"/>
        <v>0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>
        <v>0</v>
      </c>
      <c r="L187" s="4">
        <v>4.4000000000000004</v>
      </c>
      <c r="M187">
        <v>678311.17</v>
      </c>
      <c r="N187">
        <v>132029.76000000001</v>
      </c>
      <c r="O187">
        <f t="shared" si="12"/>
        <v>1</v>
      </c>
      <c r="P187">
        <f t="shared" si="13"/>
        <v>0</v>
      </c>
      <c r="Q187">
        <f t="shared" si="14"/>
        <v>0</v>
      </c>
      <c r="R187">
        <f t="shared" si="15"/>
        <v>0</v>
      </c>
      <c r="S187">
        <f t="shared" si="16"/>
        <v>0</v>
      </c>
      <c r="T187">
        <f t="shared" si="17"/>
        <v>0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>
        <v>1</v>
      </c>
      <c r="L188" s="4">
        <v>4.3</v>
      </c>
      <c r="M188">
        <v>765906.95</v>
      </c>
      <c r="N188">
        <v>114005.9</v>
      </c>
      <c r="O188">
        <f t="shared" si="12"/>
        <v>1</v>
      </c>
      <c r="P188">
        <f t="shared" si="13"/>
        <v>0</v>
      </c>
      <c r="Q188">
        <f t="shared" si="14"/>
        <v>0</v>
      </c>
      <c r="R188">
        <f t="shared" si="15"/>
        <v>0</v>
      </c>
      <c r="S188">
        <f t="shared" si="16"/>
        <v>0</v>
      </c>
      <c r="T188">
        <f t="shared" si="17"/>
        <v>0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>
        <v>0</v>
      </c>
      <c r="L189" s="4">
        <v>4.2</v>
      </c>
      <c r="M189">
        <v>712546.38</v>
      </c>
      <c r="N189">
        <v>101480.04</v>
      </c>
      <c r="O189">
        <f t="shared" si="12"/>
        <v>1</v>
      </c>
      <c r="P189">
        <f t="shared" si="13"/>
        <v>0</v>
      </c>
      <c r="Q189">
        <f t="shared" si="14"/>
        <v>0</v>
      </c>
      <c r="R189">
        <f t="shared" si="15"/>
        <v>0</v>
      </c>
      <c r="S189">
        <f t="shared" si="16"/>
        <v>0</v>
      </c>
      <c r="T189">
        <f t="shared" si="17"/>
        <v>0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>
        <v>0</v>
      </c>
      <c r="L190" s="4">
        <v>4.0999999999999996</v>
      </c>
      <c r="M190">
        <v>625993.82999999996</v>
      </c>
      <c r="N190">
        <v>98960.320000000007</v>
      </c>
      <c r="O190">
        <f t="shared" si="12"/>
        <v>0</v>
      </c>
      <c r="P190">
        <f t="shared" si="13"/>
        <v>0</v>
      </c>
      <c r="Q190">
        <f t="shared" si="14"/>
        <v>0</v>
      </c>
      <c r="R190">
        <f t="shared" si="15"/>
        <v>0</v>
      </c>
      <c r="S190">
        <f t="shared" si="16"/>
        <v>0</v>
      </c>
      <c r="T190">
        <f t="shared" si="17"/>
        <v>0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>
        <v>0</v>
      </c>
      <c r="L191" s="4">
        <v>3.8</v>
      </c>
      <c r="M191">
        <v>550962.93000000005</v>
      </c>
      <c r="N191">
        <v>97144.58</v>
      </c>
      <c r="O191">
        <f t="shared" si="12"/>
        <v>0</v>
      </c>
      <c r="P191">
        <f t="shared" si="13"/>
        <v>0</v>
      </c>
      <c r="Q191">
        <f t="shared" si="14"/>
        <v>0</v>
      </c>
      <c r="R191">
        <f t="shared" si="15"/>
        <v>0</v>
      </c>
      <c r="S191">
        <f t="shared" si="16"/>
        <v>0</v>
      </c>
      <c r="T191">
        <f t="shared" si="17"/>
        <v>0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>
        <v>0</v>
      </c>
      <c r="L192" s="4">
        <v>3.8</v>
      </c>
      <c r="M192">
        <v>443275.59</v>
      </c>
      <c r="N192">
        <v>53544.36</v>
      </c>
      <c r="O192">
        <f t="shared" si="12"/>
        <v>0</v>
      </c>
      <c r="P192">
        <f t="shared" si="13"/>
        <v>0</v>
      </c>
      <c r="Q192">
        <f t="shared" si="14"/>
        <v>0</v>
      </c>
      <c r="R192">
        <f t="shared" si="15"/>
        <v>0</v>
      </c>
      <c r="S192">
        <f t="shared" si="16"/>
        <v>0</v>
      </c>
      <c r="T192">
        <f t="shared" si="17"/>
        <v>0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>
        <v>0</v>
      </c>
      <c r="L193" s="4">
        <v>4.4000000000000004</v>
      </c>
      <c r="M193">
        <v>554012.06999999995</v>
      </c>
      <c r="N193">
        <v>81101.62</v>
      </c>
      <c r="O193">
        <f t="shared" si="12"/>
        <v>0</v>
      </c>
      <c r="P193">
        <f t="shared" si="13"/>
        <v>0</v>
      </c>
      <c r="Q193">
        <f t="shared" si="14"/>
        <v>0</v>
      </c>
      <c r="R193">
        <f t="shared" si="15"/>
        <v>0</v>
      </c>
      <c r="S193">
        <f t="shared" si="16"/>
        <v>0</v>
      </c>
      <c r="T193">
        <f t="shared" si="17"/>
        <v>0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>
        <v>0</v>
      </c>
      <c r="L194" s="4">
        <v>3.2</v>
      </c>
      <c r="M194">
        <v>643428.85</v>
      </c>
      <c r="N194">
        <v>94477.63</v>
      </c>
      <c r="O194">
        <f t="shared" si="12"/>
        <v>0</v>
      </c>
      <c r="P194">
        <f t="shared" si="13"/>
        <v>0</v>
      </c>
      <c r="Q194">
        <f t="shared" si="14"/>
        <v>1</v>
      </c>
      <c r="R194">
        <f t="shared" si="15"/>
        <v>0</v>
      </c>
      <c r="S194">
        <f t="shared" si="16"/>
        <v>0</v>
      </c>
      <c r="T194">
        <f t="shared" si="17"/>
        <v>1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>
        <v>0</v>
      </c>
      <c r="L195" s="4">
        <v>3.2</v>
      </c>
      <c r="M195">
        <v>611924.27</v>
      </c>
      <c r="N195">
        <v>115488.75</v>
      </c>
      <c r="O195">
        <f t="shared" ref="O195:O258" si="18">IF(C195="North",1,0)</f>
        <v>0</v>
      </c>
      <c r="P195">
        <f t="shared" ref="P195:P258" si="19">IF(C195="South",1,0)</f>
        <v>0</v>
      </c>
      <c r="Q195">
        <f t="shared" ref="Q195:Q258" si="20">IF(C195="West",1,0)</f>
        <v>1</v>
      </c>
      <c r="R195">
        <f t="shared" ref="R195:R258" si="21">IF(D195="Airport",1,0)</f>
        <v>0</v>
      </c>
      <c r="S195">
        <f t="shared" ref="S195:S258" si="22">IF(D195="Mall",1,0)</f>
        <v>0</v>
      </c>
      <c r="T195">
        <f t="shared" ref="T195:T258" si="23">IF(D195="Residential",1,0)</f>
        <v>1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>
        <v>0</v>
      </c>
      <c r="L196" s="4">
        <v>3.7</v>
      </c>
      <c r="M196">
        <v>559422.02</v>
      </c>
      <c r="N196">
        <v>73528.740000000005</v>
      </c>
      <c r="O196">
        <f t="shared" si="18"/>
        <v>0</v>
      </c>
      <c r="P196">
        <f t="shared" si="19"/>
        <v>0</v>
      </c>
      <c r="Q196">
        <f t="shared" si="20"/>
        <v>1</v>
      </c>
      <c r="R196">
        <f t="shared" si="21"/>
        <v>0</v>
      </c>
      <c r="S196">
        <f t="shared" si="22"/>
        <v>0</v>
      </c>
      <c r="T196">
        <f t="shared" si="23"/>
        <v>1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>
        <v>0</v>
      </c>
      <c r="L197" s="4"/>
      <c r="M197">
        <v>449465.06</v>
      </c>
      <c r="N197">
        <v>65694.78</v>
      </c>
      <c r="O197">
        <f t="shared" si="18"/>
        <v>0</v>
      </c>
      <c r="P197">
        <f t="shared" si="19"/>
        <v>0</v>
      </c>
      <c r="Q197">
        <f t="shared" si="20"/>
        <v>1</v>
      </c>
      <c r="R197">
        <f t="shared" si="21"/>
        <v>0</v>
      </c>
      <c r="S197">
        <f t="shared" si="22"/>
        <v>0</v>
      </c>
      <c r="T197">
        <f t="shared" si="23"/>
        <v>1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>
        <v>0</v>
      </c>
      <c r="L198" s="4">
        <v>4.2</v>
      </c>
      <c r="M198">
        <v>691447.43</v>
      </c>
      <c r="N198">
        <v>114077.69</v>
      </c>
      <c r="O198">
        <f t="shared" si="18"/>
        <v>1</v>
      </c>
      <c r="P198">
        <f t="shared" si="19"/>
        <v>0</v>
      </c>
      <c r="Q198">
        <f t="shared" si="20"/>
        <v>0</v>
      </c>
      <c r="R198">
        <f t="shared" si="21"/>
        <v>0</v>
      </c>
      <c r="S198">
        <f t="shared" si="22"/>
        <v>0</v>
      </c>
      <c r="T198">
        <f t="shared" si="23"/>
        <v>1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>
        <v>0</v>
      </c>
      <c r="L199" s="4">
        <v>4.5999999999999996</v>
      </c>
      <c r="M199">
        <v>574066.61</v>
      </c>
      <c r="N199">
        <v>124674.67</v>
      </c>
      <c r="O199">
        <f t="shared" si="18"/>
        <v>1</v>
      </c>
      <c r="P199">
        <f t="shared" si="19"/>
        <v>0</v>
      </c>
      <c r="Q199">
        <f t="shared" si="20"/>
        <v>0</v>
      </c>
      <c r="R199">
        <f t="shared" si="21"/>
        <v>0</v>
      </c>
      <c r="S199">
        <f t="shared" si="22"/>
        <v>0</v>
      </c>
      <c r="T199">
        <f t="shared" si="23"/>
        <v>1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>
        <v>1</v>
      </c>
      <c r="L200" s="4">
        <v>4.3</v>
      </c>
      <c r="M200">
        <v>578949.84</v>
      </c>
      <c r="N200">
        <v>80253.649999999994</v>
      </c>
      <c r="O200">
        <f t="shared" si="18"/>
        <v>1</v>
      </c>
      <c r="P200">
        <f t="shared" si="19"/>
        <v>0</v>
      </c>
      <c r="Q200">
        <f t="shared" si="20"/>
        <v>0</v>
      </c>
      <c r="R200">
        <f t="shared" si="21"/>
        <v>0</v>
      </c>
      <c r="S200">
        <f t="shared" si="22"/>
        <v>0</v>
      </c>
      <c r="T200">
        <f t="shared" si="23"/>
        <v>1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>
        <v>0</v>
      </c>
      <c r="L201" s="4">
        <v>4.8</v>
      </c>
      <c r="M201">
        <v>735786.64</v>
      </c>
      <c r="N201">
        <v>126540.66</v>
      </c>
      <c r="O201">
        <f t="shared" si="18"/>
        <v>1</v>
      </c>
      <c r="P201">
        <f t="shared" si="19"/>
        <v>0</v>
      </c>
      <c r="Q201">
        <f t="shared" si="20"/>
        <v>0</v>
      </c>
      <c r="R201">
        <f t="shared" si="21"/>
        <v>0</v>
      </c>
      <c r="S201">
        <f t="shared" si="22"/>
        <v>0</v>
      </c>
      <c r="T201">
        <f t="shared" si="23"/>
        <v>1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>
        <v>1</v>
      </c>
      <c r="L202" s="4">
        <v>4.5999999999999996</v>
      </c>
      <c r="M202">
        <v>598904.9</v>
      </c>
      <c r="N202">
        <v>72861</v>
      </c>
      <c r="O202">
        <f t="shared" si="18"/>
        <v>0</v>
      </c>
      <c r="P202">
        <f t="shared" si="19"/>
        <v>0</v>
      </c>
      <c r="Q202">
        <f t="shared" si="20"/>
        <v>0</v>
      </c>
      <c r="R202">
        <f t="shared" si="21"/>
        <v>1</v>
      </c>
      <c r="S202">
        <f t="shared" si="22"/>
        <v>0</v>
      </c>
      <c r="T202">
        <f t="shared" si="23"/>
        <v>0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>
        <v>0</v>
      </c>
      <c r="L203" s="4">
        <v>4.8</v>
      </c>
      <c r="M203">
        <v>787715.51</v>
      </c>
      <c r="N203">
        <v>128969.62</v>
      </c>
      <c r="O203">
        <f t="shared" si="18"/>
        <v>0</v>
      </c>
      <c r="P203">
        <f t="shared" si="19"/>
        <v>0</v>
      </c>
      <c r="Q203">
        <f t="shared" si="20"/>
        <v>0</v>
      </c>
      <c r="R203">
        <f t="shared" si="21"/>
        <v>1</v>
      </c>
      <c r="S203">
        <f t="shared" si="22"/>
        <v>0</v>
      </c>
      <c r="T203">
        <f t="shared" si="23"/>
        <v>0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>
        <v>1</v>
      </c>
      <c r="L204" s="4">
        <v>5</v>
      </c>
      <c r="M204">
        <v>607084.92000000004</v>
      </c>
      <c r="N204">
        <v>98558.49</v>
      </c>
      <c r="O204">
        <f t="shared" si="18"/>
        <v>0</v>
      </c>
      <c r="P204">
        <f t="shared" si="19"/>
        <v>0</v>
      </c>
      <c r="Q204">
        <f t="shared" si="20"/>
        <v>0</v>
      </c>
      <c r="R204">
        <f t="shared" si="21"/>
        <v>1</v>
      </c>
      <c r="S204">
        <f t="shared" si="22"/>
        <v>0</v>
      </c>
      <c r="T204">
        <f t="shared" si="23"/>
        <v>0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>
        <v>0</v>
      </c>
      <c r="L205" s="4">
        <v>4</v>
      </c>
      <c r="M205">
        <v>650795.49</v>
      </c>
      <c r="N205">
        <v>103035.89</v>
      </c>
      <c r="O205">
        <f t="shared" si="18"/>
        <v>0</v>
      </c>
      <c r="P205">
        <f t="shared" si="19"/>
        <v>0</v>
      </c>
      <c r="Q205">
        <f t="shared" si="20"/>
        <v>0</v>
      </c>
      <c r="R205">
        <f t="shared" si="21"/>
        <v>1</v>
      </c>
      <c r="S205">
        <f t="shared" si="22"/>
        <v>0</v>
      </c>
      <c r="T205">
        <f t="shared" si="23"/>
        <v>0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>
        <v>0</v>
      </c>
      <c r="L206" s="4">
        <v>3.7</v>
      </c>
      <c r="M206">
        <v>825060.52</v>
      </c>
      <c r="N206">
        <v>143613.15</v>
      </c>
      <c r="O206">
        <f t="shared" si="18"/>
        <v>0</v>
      </c>
      <c r="P206">
        <f t="shared" si="19"/>
        <v>0</v>
      </c>
      <c r="Q206">
        <f t="shared" si="20"/>
        <v>0</v>
      </c>
      <c r="R206">
        <f t="shared" si="21"/>
        <v>0</v>
      </c>
      <c r="S206">
        <f t="shared" si="22"/>
        <v>1</v>
      </c>
      <c r="T206">
        <f t="shared" si="23"/>
        <v>0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>
        <v>0</v>
      </c>
      <c r="L207" s="4">
        <v>3.7</v>
      </c>
      <c r="M207">
        <v>795464.47</v>
      </c>
      <c r="N207">
        <v>161150.51999999999</v>
      </c>
      <c r="O207">
        <f t="shared" si="18"/>
        <v>0</v>
      </c>
      <c r="P207">
        <f t="shared" si="19"/>
        <v>0</v>
      </c>
      <c r="Q207">
        <f t="shared" si="20"/>
        <v>0</v>
      </c>
      <c r="R207">
        <f t="shared" si="21"/>
        <v>0</v>
      </c>
      <c r="S207">
        <f t="shared" si="22"/>
        <v>1</v>
      </c>
      <c r="T207">
        <f t="shared" si="23"/>
        <v>0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>
        <v>0</v>
      </c>
      <c r="L208" s="4">
        <v>3.7</v>
      </c>
      <c r="M208">
        <v>671868.59</v>
      </c>
      <c r="N208">
        <v>71003.28</v>
      </c>
      <c r="O208">
        <f t="shared" si="18"/>
        <v>0</v>
      </c>
      <c r="P208">
        <f t="shared" si="19"/>
        <v>0</v>
      </c>
      <c r="Q208">
        <f t="shared" si="20"/>
        <v>0</v>
      </c>
      <c r="R208">
        <f t="shared" si="21"/>
        <v>0</v>
      </c>
      <c r="S208">
        <f t="shared" si="22"/>
        <v>1</v>
      </c>
      <c r="T208">
        <f t="shared" si="23"/>
        <v>0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>
        <v>0</v>
      </c>
      <c r="L209" s="4">
        <v>3.7</v>
      </c>
      <c r="M209">
        <v>675917.63</v>
      </c>
      <c r="N209">
        <v>112564.75</v>
      </c>
      <c r="O209">
        <f t="shared" si="18"/>
        <v>0</v>
      </c>
      <c r="P209">
        <f t="shared" si="19"/>
        <v>0</v>
      </c>
      <c r="Q209">
        <f t="shared" si="20"/>
        <v>0</v>
      </c>
      <c r="R209">
        <f t="shared" si="21"/>
        <v>0</v>
      </c>
      <c r="S209">
        <f t="shared" si="22"/>
        <v>1</v>
      </c>
      <c r="T209">
        <f t="shared" si="23"/>
        <v>0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>
        <v>1</v>
      </c>
      <c r="L210" s="4">
        <v>3.7</v>
      </c>
      <c r="M210">
        <v>810446.53</v>
      </c>
      <c r="N210">
        <v>200575.34</v>
      </c>
      <c r="O210">
        <f t="shared" si="18"/>
        <v>0</v>
      </c>
      <c r="P210">
        <f t="shared" si="19"/>
        <v>0</v>
      </c>
      <c r="Q210">
        <f t="shared" si="20"/>
        <v>0</v>
      </c>
      <c r="R210">
        <f t="shared" si="21"/>
        <v>0</v>
      </c>
      <c r="S210">
        <f t="shared" si="22"/>
        <v>0</v>
      </c>
      <c r="T210">
        <f t="shared" si="23"/>
        <v>0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>
        <v>0</v>
      </c>
      <c r="L211" s="4">
        <v>3.3</v>
      </c>
      <c r="M211">
        <v>691288.19</v>
      </c>
      <c r="N211">
        <v>159074.14000000001</v>
      </c>
      <c r="O211">
        <f t="shared" si="18"/>
        <v>0</v>
      </c>
      <c r="P211">
        <f t="shared" si="19"/>
        <v>0</v>
      </c>
      <c r="Q211">
        <f t="shared" si="20"/>
        <v>0</v>
      </c>
      <c r="R211">
        <f t="shared" si="21"/>
        <v>0</v>
      </c>
      <c r="S211">
        <f t="shared" si="22"/>
        <v>0</v>
      </c>
      <c r="T211">
        <f t="shared" si="23"/>
        <v>0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>
        <v>1</v>
      </c>
      <c r="L212" s="4">
        <v>3.7</v>
      </c>
      <c r="M212">
        <v>946833.54</v>
      </c>
      <c r="N212">
        <v>184540.31</v>
      </c>
      <c r="O212">
        <f t="shared" si="18"/>
        <v>0</v>
      </c>
      <c r="P212">
        <f t="shared" si="19"/>
        <v>0</v>
      </c>
      <c r="Q212">
        <f t="shared" si="20"/>
        <v>0</v>
      </c>
      <c r="R212">
        <f t="shared" si="21"/>
        <v>0</v>
      </c>
      <c r="S212">
        <f t="shared" si="22"/>
        <v>0</v>
      </c>
      <c r="T212">
        <f t="shared" si="23"/>
        <v>0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>
        <v>0</v>
      </c>
      <c r="L213" s="4">
        <v>4.0999999999999996</v>
      </c>
      <c r="M213">
        <v>761963.23</v>
      </c>
      <c r="N213">
        <v>150113.60999999999</v>
      </c>
      <c r="O213">
        <f t="shared" si="18"/>
        <v>0</v>
      </c>
      <c r="P213">
        <f t="shared" si="19"/>
        <v>0</v>
      </c>
      <c r="Q213">
        <f t="shared" si="20"/>
        <v>0</v>
      </c>
      <c r="R213">
        <f t="shared" si="21"/>
        <v>0</v>
      </c>
      <c r="S213">
        <f t="shared" si="22"/>
        <v>0</v>
      </c>
      <c r="T213">
        <f t="shared" si="23"/>
        <v>0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>
        <v>0</v>
      </c>
      <c r="L214" s="4">
        <v>4.3</v>
      </c>
      <c r="M214">
        <v>812152.6</v>
      </c>
      <c r="N214">
        <v>138419.43</v>
      </c>
      <c r="O214">
        <f t="shared" si="18"/>
        <v>0</v>
      </c>
      <c r="P214">
        <f t="shared" si="19"/>
        <v>0</v>
      </c>
      <c r="Q214">
        <f t="shared" si="20"/>
        <v>1</v>
      </c>
      <c r="R214">
        <f t="shared" si="21"/>
        <v>0</v>
      </c>
      <c r="S214">
        <f t="shared" si="22"/>
        <v>0</v>
      </c>
      <c r="T214">
        <f t="shared" si="23"/>
        <v>1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>
        <v>0</v>
      </c>
      <c r="L215" s="4">
        <v>4.2</v>
      </c>
      <c r="M215">
        <v>804975.5</v>
      </c>
      <c r="N215">
        <v>140054.5</v>
      </c>
      <c r="O215">
        <f t="shared" si="18"/>
        <v>0</v>
      </c>
      <c r="P215">
        <f t="shared" si="19"/>
        <v>0</v>
      </c>
      <c r="Q215">
        <f t="shared" si="20"/>
        <v>1</v>
      </c>
      <c r="R215">
        <f t="shared" si="21"/>
        <v>0</v>
      </c>
      <c r="S215">
        <f t="shared" si="22"/>
        <v>0</v>
      </c>
      <c r="T215">
        <f t="shared" si="23"/>
        <v>1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>
        <v>0</v>
      </c>
      <c r="L216" s="4">
        <v>4.7</v>
      </c>
      <c r="M216">
        <v>752321.72</v>
      </c>
      <c r="N216">
        <v>137788.51</v>
      </c>
      <c r="O216">
        <f t="shared" si="18"/>
        <v>0</v>
      </c>
      <c r="P216">
        <f t="shared" si="19"/>
        <v>0</v>
      </c>
      <c r="Q216">
        <f t="shared" si="20"/>
        <v>1</v>
      </c>
      <c r="R216">
        <f t="shared" si="21"/>
        <v>0</v>
      </c>
      <c r="S216">
        <f t="shared" si="22"/>
        <v>0</v>
      </c>
      <c r="T216">
        <f t="shared" si="23"/>
        <v>1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>
        <v>0</v>
      </c>
      <c r="L217" s="4">
        <v>4.9000000000000004</v>
      </c>
      <c r="M217">
        <v>836908.24</v>
      </c>
      <c r="N217">
        <v>141090.26</v>
      </c>
      <c r="O217">
        <f t="shared" si="18"/>
        <v>0</v>
      </c>
      <c r="P217">
        <f t="shared" si="19"/>
        <v>0</v>
      </c>
      <c r="Q217">
        <f t="shared" si="20"/>
        <v>1</v>
      </c>
      <c r="R217">
        <f t="shared" si="21"/>
        <v>0</v>
      </c>
      <c r="S217">
        <f t="shared" si="22"/>
        <v>0</v>
      </c>
      <c r="T217">
        <f t="shared" si="23"/>
        <v>1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>
        <v>0</v>
      </c>
      <c r="L218" s="4">
        <v>3.3</v>
      </c>
      <c r="M218">
        <v>674289.1</v>
      </c>
      <c r="N218">
        <v>117773.79</v>
      </c>
      <c r="O218">
        <f t="shared" si="18"/>
        <v>1</v>
      </c>
      <c r="P218">
        <f t="shared" si="19"/>
        <v>0</v>
      </c>
      <c r="Q218">
        <f t="shared" si="20"/>
        <v>0</v>
      </c>
      <c r="R218">
        <f t="shared" si="21"/>
        <v>1</v>
      </c>
      <c r="S218">
        <f t="shared" si="22"/>
        <v>0</v>
      </c>
      <c r="T218">
        <f t="shared" si="23"/>
        <v>0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>
        <v>0</v>
      </c>
      <c r="L219" s="4">
        <v>3.9</v>
      </c>
      <c r="M219">
        <v>622892.42000000004</v>
      </c>
      <c r="N219">
        <v>101032.52</v>
      </c>
      <c r="O219">
        <f t="shared" si="18"/>
        <v>1</v>
      </c>
      <c r="P219">
        <f t="shared" si="19"/>
        <v>0</v>
      </c>
      <c r="Q219">
        <f t="shared" si="20"/>
        <v>0</v>
      </c>
      <c r="R219">
        <f t="shared" si="21"/>
        <v>1</v>
      </c>
      <c r="S219">
        <f t="shared" si="22"/>
        <v>0</v>
      </c>
      <c r="T219">
        <f t="shared" si="23"/>
        <v>0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>
        <v>0</v>
      </c>
      <c r="L220" s="4">
        <v>3.7</v>
      </c>
      <c r="M220">
        <v>673348.56</v>
      </c>
      <c r="N220">
        <v>69464.59</v>
      </c>
      <c r="O220">
        <f t="shared" si="18"/>
        <v>1</v>
      </c>
      <c r="P220">
        <f t="shared" si="19"/>
        <v>0</v>
      </c>
      <c r="Q220">
        <f t="shared" si="20"/>
        <v>0</v>
      </c>
      <c r="R220">
        <f t="shared" si="21"/>
        <v>1</v>
      </c>
      <c r="S220">
        <f t="shared" si="22"/>
        <v>0</v>
      </c>
      <c r="T220">
        <f t="shared" si="23"/>
        <v>0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>
        <v>0</v>
      </c>
      <c r="L221" s="4">
        <v>3.9</v>
      </c>
      <c r="M221">
        <v>606278.30000000005</v>
      </c>
      <c r="N221">
        <v>102213.26</v>
      </c>
      <c r="O221">
        <f t="shared" si="18"/>
        <v>1</v>
      </c>
      <c r="P221">
        <f t="shared" si="19"/>
        <v>0</v>
      </c>
      <c r="Q221">
        <f t="shared" si="20"/>
        <v>0</v>
      </c>
      <c r="R221">
        <f t="shared" si="21"/>
        <v>1</v>
      </c>
      <c r="S221">
        <f t="shared" si="22"/>
        <v>0</v>
      </c>
      <c r="T221">
        <f t="shared" si="23"/>
        <v>0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>
        <v>1</v>
      </c>
      <c r="L222" s="4">
        <v>3.8</v>
      </c>
      <c r="M222">
        <v>712219.81</v>
      </c>
      <c r="N222">
        <v>85906.54</v>
      </c>
      <c r="O222">
        <f t="shared" si="18"/>
        <v>0</v>
      </c>
      <c r="P222">
        <f t="shared" si="19"/>
        <v>0</v>
      </c>
      <c r="Q222">
        <f t="shared" si="20"/>
        <v>0</v>
      </c>
      <c r="R222">
        <f t="shared" si="21"/>
        <v>0</v>
      </c>
      <c r="S222">
        <f t="shared" si="22"/>
        <v>0</v>
      </c>
      <c r="T222">
        <f t="shared" si="23"/>
        <v>0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>
        <v>0</v>
      </c>
      <c r="L223" s="4">
        <v>3.4</v>
      </c>
      <c r="M223">
        <v>672670.54</v>
      </c>
      <c r="N223">
        <v>132684.18</v>
      </c>
      <c r="O223">
        <f t="shared" si="18"/>
        <v>0</v>
      </c>
      <c r="P223">
        <f t="shared" si="19"/>
        <v>0</v>
      </c>
      <c r="Q223">
        <f t="shared" si="20"/>
        <v>0</v>
      </c>
      <c r="R223">
        <f t="shared" si="21"/>
        <v>0</v>
      </c>
      <c r="S223">
        <f t="shared" si="22"/>
        <v>0</v>
      </c>
      <c r="T223">
        <f t="shared" si="23"/>
        <v>0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>
        <v>0</v>
      </c>
      <c r="L224" s="4">
        <v>3.3</v>
      </c>
      <c r="M224">
        <v>732667.92</v>
      </c>
      <c r="N224">
        <v>128654.46</v>
      </c>
      <c r="O224">
        <f t="shared" si="18"/>
        <v>0</v>
      </c>
      <c r="P224">
        <f t="shared" si="19"/>
        <v>0</v>
      </c>
      <c r="Q224">
        <f t="shared" si="20"/>
        <v>0</v>
      </c>
      <c r="R224">
        <f t="shared" si="21"/>
        <v>0</v>
      </c>
      <c r="S224">
        <f t="shared" si="22"/>
        <v>0</v>
      </c>
      <c r="T224">
        <f t="shared" si="23"/>
        <v>0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>
        <v>0</v>
      </c>
      <c r="L225" s="4">
        <v>3.6</v>
      </c>
      <c r="M225">
        <v>723531.4</v>
      </c>
      <c r="N225">
        <v>108794.85</v>
      </c>
      <c r="O225">
        <f t="shared" si="18"/>
        <v>0</v>
      </c>
      <c r="P225">
        <f t="shared" si="19"/>
        <v>0</v>
      </c>
      <c r="Q225">
        <f t="shared" si="20"/>
        <v>0</v>
      </c>
      <c r="R225">
        <f t="shared" si="21"/>
        <v>0</v>
      </c>
      <c r="S225">
        <f t="shared" si="22"/>
        <v>0</v>
      </c>
      <c r="T225">
        <f t="shared" si="23"/>
        <v>0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>
        <v>1</v>
      </c>
      <c r="L226" s="4">
        <v>3</v>
      </c>
      <c r="M226">
        <v>641564.6</v>
      </c>
      <c r="N226">
        <v>90468.96</v>
      </c>
      <c r="O226">
        <f t="shared" si="18"/>
        <v>0</v>
      </c>
      <c r="P226">
        <f t="shared" si="19"/>
        <v>0</v>
      </c>
      <c r="Q226">
        <f t="shared" si="20"/>
        <v>0</v>
      </c>
      <c r="R226">
        <f t="shared" si="21"/>
        <v>0</v>
      </c>
      <c r="S226">
        <f t="shared" si="22"/>
        <v>1</v>
      </c>
      <c r="T226">
        <f t="shared" si="23"/>
        <v>0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>
        <v>0</v>
      </c>
      <c r="L227" s="4">
        <v>3.4</v>
      </c>
      <c r="M227">
        <v>536545.49</v>
      </c>
      <c r="N227">
        <v>97917.45</v>
      </c>
      <c r="O227">
        <f t="shared" si="18"/>
        <v>0</v>
      </c>
      <c r="P227">
        <f t="shared" si="19"/>
        <v>0</v>
      </c>
      <c r="Q227">
        <f t="shared" si="20"/>
        <v>0</v>
      </c>
      <c r="R227">
        <f t="shared" si="21"/>
        <v>0</v>
      </c>
      <c r="S227">
        <f t="shared" si="22"/>
        <v>1</v>
      </c>
      <c r="T227">
        <f t="shared" si="23"/>
        <v>0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>
        <v>0</v>
      </c>
      <c r="L228" s="4">
        <v>3.3</v>
      </c>
      <c r="M228">
        <v>527681.56000000006</v>
      </c>
      <c r="N228">
        <v>63153.05</v>
      </c>
      <c r="O228">
        <f t="shared" si="18"/>
        <v>0</v>
      </c>
      <c r="P228">
        <f t="shared" si="19"/>
        <v>0</v>
      </c>
      <c r="Q228">
        <f t="shared" si="20"/>
        <v>0</v>
      </c>
      <c r="R228">
        <f t="shared" si="21"/>
        <v>0</v>
      </c>
      <c r="S228">
        <f t="shared" si="22"/>
        <v>1</v>
      </c>
      <c r="T228">
        <f t="shared" si="23"/>
        <v>0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>
        <v>0</v>
      </c>
      <c r="L229" s="4"/>
      <c r="M229">
        <v>529598.93999999994</v>
      </c>
      <c r="N229">
        <v>84334.33</v>
      </c>
      <c r="O229">
        <f t="shared" si="18"/>
        <v>0</v>
      </c>
      <c r="P229">
        <f t="shared" si="19"/>
        <v>0</v>
      </c>
      <c r="Q229">
        <f t="shared" si="20"/>
        <v>0</v>
      </c>
      <c r="R229">
        <f t="shared" si="21"/>
        <v>0</v>
      </c>
      <c r="S229">
        <f t="shared" si="22"/>
        <v>1</v>
      </c>
      <c r="T229">
        <f t="shared" si="23"/>
        <v>0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>
        <v>0</v>
      </c>
      <c r="L230" s="4">
        <v>3.8</v>
      </c>
      <c r="M230">
        <v>570963.31000000006</v>
      </c>
      <c r="N230">
        <v>87342.25</v>
      </c>
      <c r="O230">
        <f t="shared" si="18"/>
        <v>0</v>
      </c>
      <c r="P230">
        <f t="shared" si="19"/>
        <v>0</v>
      </c>
      <c r="Q230">
        <f t="shared" si="20"/>
        <v>0</v>
      </c>
      <c r="R230">
        <f t="shared" si="21"/>
        <v>0</v>
      </c>
      <c r="S230">
        <f t="shared" si="22"/>
        <v>0</v>
      </c>
      <c r="T230">
        <f t="shared" si="23"/>
        <v>0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>
        <v>0</v>
      </c>
      <c r="L231" s="4">
        <v>4</v>
      </c>
      <c r="M231">
        <v>870937.4</v>
      </c>
      <c r="N231">
        <v>175282.74</v>
      </c>
      <c r="O231">
        <f t="shared" si="18"/>
        <v>0</v>
      </c>
      <c r="P231">
        <f t="shared" si="19"/>
        <v>0</v>
      </c>
      <c r="Q231">
        <f t="shared" si="20"/>
        <v>0</v>
      </c>
      <c r="R231">
        <f t="shared" si="21"/>
        <v>0</v>
      </c>
      <c r="S231">
        <f t="shared" si="22"/>
        <v>0</v>
      </c>
      <c r="T231">
        <f t="shared" si="23"/>
        <v>0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>
        <v>0</v>
      </c>
      <c r="L232" s="4">
        <v>3.9</v>
      </c>
      <c r="M232">
        <v>596969.27</v>
      </c>
      <c r="N232">
        <v>105669.51</v>
      </c>
      <c r="O232">
        <f t="shared" si="18"/>
        <v>0</v>
      </c>
      <c r="P232">
        <f t="shared" si="19"/>
        <v>0</v>
      </c>
      <c r="Q232">
        <f t="shared" si="20"/>
        <v>0</v>
      </c>
      <c r="R232">
        <f t="shared" si="21"/>
        <v>0</v>
      </c>
      <c r="S232">
        <f t="shared" si="22"/>
        <v>0</v>
      </c>
      <c r="T232">
        <f t="shared" si="23"/>
        <v>0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J233" s="4"/>
      <c r="K233">
        <v>0</v>
      </c>
      <c r="L233" s="4">
        <v>3.7</v>
      </c>
      <c r="M233">
        <v>647512.85</v>
      </c>
      <c r="N233">
        <v>153835.57</v>
      </c>
      <c r="O233">
        <f t="shared" si="18"/>
        <v>0</v>
      </c>
      <c r="P233">
        <f t="shared" si="19"/>
        <v>0</v>
      </c>
      <c r="Q233">
        <f t="shared" si="20"/>
        <v>0</v>
      </c>
      <c r="R233">
        <f t="shared" si="21"/>
        <v>0</v>
      </c>
      <c r="S233">
        <f t="shared" si="22"/>
        <v>0</v>
      </c>
      <c r="T233">
        <f t="shared" si="23"/>
        <v>0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>
        <v>0</v>
      </c>
      <c r="L234" s="4">
        <v>4.3</v>
      </c>
      <c r="M234">
        <v>658072.14</v>
      </c>
      <c r="N234">
        <v>110595.89</v>
      </c>
      <c r="O234">
        <f t="shared" si="18"/>
        <v>0</v>
      </c>
      <c r="P234">
        <f t="shared" si="19"/>
        <v>0</v>
      </c>
      <c r="Q234">
        <f t="shared" si="20"/>
        <v>1</v>
      </c>
      <c r="R234">
        <f t="shared" si="21"/>
        <v>0</v>
      </c>
      <c r="S234">
        <f t="shared" si="22"/>
        <v>0</v>
      </c>
      <c r="T234">
        <f t="shared" si="23"/>
        <v>1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>
        <v>0</v>
      </c>
      <c r="L235" s="4">
        <v>4</v>
      </c>
      <c r="M235">
        <v>723305.11</v>
      </c>
      <c r="N235">
        <v>128468.7</v>
      </c>
      <c r="O235">
        <f t="shared" si="18"/>
        <v>0</v>
      </c>
      <c r="P235">
        <f t="shared" si="19"/>
        <v>0</v>
      </c>
      <c r="Q235">
        <f t="shared" si="20"/>
        <v>1</v>
      </c>
      <c r="R235">
        <f t="shared" si="21"/>
        <v>0</v>
      </c>
      <c r="S235">
        <f t="shared" si="22"/>
        <v>0</v>
      </c>
      <c r="T235">
        <f t="shared" si="23"/>
        <v>1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>
        <v>0</v>
      </c>
      <c r="L236" s="4">
        <v>4.5</v>
      </c>
      <c r="M236">
        <v>640666.53</v>
      </c>
      <c r="N236">
        <v>134919.16</v>
      </c>
      <c r="O236">
        <f t="shared" si="18"/>
        <v>0</v>
      </c>
      <c r="P236">
        <f t="shared" si="19"/>
        <v>0</v>
      </c>
      <c r="Q236">
        <f t="shared" si="20"/>
        <v>1</v>
      </c>
      <c r="R236">
        <f t="shared" si="21"/>
        <v>0</v>
      </c>
      <c r="S236">
        <f t="shared" si="22"/>
        <v>0</v>
      </c>
      <c r="T236">
        <f t="shared" si="23"/>
        <v>1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>
        <v>0</v>
      </c>
      <c r="L237" s="4">
        <v>4.0999999999999996</v>
      </c>
      <c r="M237">
        <v>670629.48</v>
      </c>
      <c r="N237">
        <v>100140.8</v>
      </c>
      <c r="O237">
        <f t="shared" si="18"/>
        <v>0</v>
      </c>
      <c r="P237">
        <f t="shared" si="19"/>
        <v>0</v>
      </c>
      <c r="Q237">
        <f t="shared" si="20"/>
        <v>1</v>
      </c>
      <c r="R237">
        <f t="shared" si="21"/>
        <v>0</v>
      </c>
      <c r="S237">
        <f t="shared" si="22"/>
        <v>0</v>
      </c>
      <c r="T237">
        <f t="shared" si="23"/>
        <v>1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>
        <v>0</v>
      </c>
      <c r="L238" s="4">
        <v>3.7</v>
      </c>
      <c r="M238">
        <v>721079.35</v>
      </c>
      <c r="N238">
        <v>115295.05</v>
      </c>
      <c r="O238">
        <f t="shared" si="18"/>
        <v>0</v>
      </c>
      <c r="P238">
        <f t="shared" si="19"/>
        <v>0</v>
      </c>
      <c r="Q238">
        <f t="shared" si="20"/>
        <v>1</v>
      </c>
      <c r="R238">
        <f t="shared" si="21"/>
        <v>0</v>
      </c>
      <c r="S238">
        <f t="shared" si="22"/>
        <v>1</v>
      </c>
      <c r="T238">
        <f t="shared" si="23"/>
        <v>0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>
        <v>0</v>
      </c>
      <c r="L239" s="4">
        <v>3.4</v>
      </c>
      <c r="M239">
        <v>810355.02</v>
      </c>
      <c r="N239">
        <v>131510</v>
      </c>
      <c r="O239">
        <f t="shared" si="18"/>
        <v>0</v>
      </c>
      <c r="P239">
        <f t="shared" si="19"/>
        <v>0</v>
      </c>
      <c r="Q239">
        <f t="shared" si="20"/>
        <v>1</v>
      </c>
      <c r="R239">
        <f t="shared" si="21"/>
        <v>0</v>
      </c>
      <c r="S239">
        <f t="shared" si="22"/>
        <v>1</v>
      </c>
      <c r="T239">
        <f t="shared" si="23"/>
        <v>0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>
        <v>0</v>
      </c>
      <c r="L240" s="4">
        <v>3.2</v>
      </c>
      <c r="M240">
        <v>761919.25</v>
      </c>
      <c r="N240">
        <v>111893.06</v>
      </c>
      <c r="O240">
        <f t="shared" si="18"/>
        <v>0</v>
      </c>
      <c r="P240">
        <f t="shared" si="19"/>
        <v>0</v>
      </c>
      <c r="Q240">
        <f t="shared" si="20"/>
        <v>1</v>
      </c>
      <c r="R240">
        <f t="shared" si="21"/>
        <v>0</v>
      </c>
      <c r="S240">
        <f t="shared" si="22"/>
        <v>1</v>
      </c>
      <c r="T240">
        <f t="shared" si="23"/>
        <v>0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>
        <v>0</v>
      </c>
      <c r="L241" s="4">
        <v>3.3</v>
      </c>
      <c r="M241">
        <v>737070.18</v>
      </c>
      <c r="N241">
        <v>117593.97</v>
      </c>
      <c r="O241">
        <f t="shared" si="18"/>
        <v>0</v>
      </c>
      <c r="P241">
        <f t="shared" si="19"/>
        <v>0</v>
      </c>
      <c r="Q241">
        <f t="shared" si="20"/>
        <v>1</v>
      </c>
      <c r="R241">
        <f t="shared" si="21"/>
        <v>0</v>
      </c>
      <c r="S241">
        <f t="shared" si="22"/>
        <v>1</v>
      </c>
      <c r="T241">
        <f t="shared" si="23"/>
        <v>0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>
        <v>1</v>
      </c>
      <c r="L242" s="4">
        <v>2.9</v>
      </c>
      <c r="M242">
        <v>776992.93</v>
      </c>
      <c r="N242">
        <v>101598.32</v>
      </c>
      <c r="O242">
        <f t="shared" si="18"/>
        <v>0</v>
      </c>
      <c r="P242">
        <f t="shared" si="19"/>
        <v>1</v>
      </c>
      <c r="Q242">
        <f t="shared" si="20"/>
        <v>0</v>
      </c>
      <c r="R242">
        <f t="shared" si="21"/>
        <v>1</v>
      </c>
      <c r="S242">
        <f t="shared" si="22"/>
        <v>0</v>
      </c>
      <c r="T242">
        <f t="shared" si="23"/>
        <v>0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>
        <v>0</v>
      </c>
      <c r="L243" s="4">
        <v>3.7</v>
      </c>
      <c r="M243">
        <v>676337.41</v>
      </c>
      <c r="N243">
        <v>104355.77</v>
      </c>
      <c r="O243">
        <f t="shared" si="18"/>
        <v>0</v>
      </c>
      <c r="P243">
        <f t="shared" si="19"/>
        <v>1</v>
      </c>
      <c r="Q243">
        <f t="shared" si="20"/>
        <v>0</v>
      </c>
      <c r="R243">
        <f t="shared" si="21"/>
        <v>1</v>
      </c>
      <c r="S243">
        <f t="shared" si="22"/>
        <v>0</v>
      </c>
      <c r="T243">
        <f t="shared" si="23"/>
        <v>0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>
        <v>0</v>
      </c>
      <c r="L244" s="4">
        <v>3.5</v>
      </c>
      <c r="M244">
        <v>828219.67</v>
      </c>
      <c r="N244">
        <v>179806.87</v>
      </c>
      <c r="O244">
        <f t="shared" si="18"/>
        <v>0</v>
      </c>
      <c r="P244">
        <f t="shared" si="19"/>
        <v>1</v>
      </c>
      <c r="Q244">
        <f t="shared" si="20"/>
        <v>0</v>
      </c>
      <c r="R244">
        <f t="shared" si="21"/>
        <v>1</v>
      </c>
      <c r="S244">
        <f t="shared" si="22"/>
        <v>0</v>
      </c>
      <c r="T244">
        <f t="shared" si="23"/>
        <v>0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>
        <v>0</v>
      </c>
      <c r="L245" s="4">
        <v>3</v>
      </c>
      <c r="M245">
        <v>763159.92</v>
      </c>
      <c r="N245">
        <v>177104.87</v>
      </c>
      <c r="O245">
        <f t="shared" si="18"/>
        <v>0</v>
      </c>
      <c r="P245">
        <f t="shared" si="19"/>
        <v>1</v>
      </c>
      <c r="Q245">
        <f t="shared" si="20"/>
        <v>0</v>
      </c>
      <c r="R245">
        <f t="shared" si="21"/>
        <v>1</v>
      </c>
      <c r="S245">
        <f t="shared" si="22"/>
        <v>0</v>
      </c>
      <c r="T245">
        <f t="shared" si="23"/>
        <v>0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>
        <v>0</v>
      </c>
      <c r="L246" s="4">
        <v>3.2</v>
      </c>
      <c r="M246">
        <v>802001.68</v>
      </c>
      <c r="N246">
        <v>159715.82</v>
      </c>
      <c r="O246">
        <f t="shared" si="18"/>
        <v>0</v>
      </c>
      <c r="P246">
        <f t="shared" si="19"/>
        <v>0</v>
      </c>
      <c r="Q246">
        <f t="shared" si="20"/>
        <v>0</v>
      </c>
      <c r="R246">
        <f t="shared" si="21"/>
        <v>0</v>
      </c>
      <c r="S246">
        <f t="shared" si="22"/>
        <v>0</v>
      </c>
      <c r="T246">
        <f t="shared" si="23"/>
        <v>0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>
        <v>0</v>
      </c>
      <c r="L247" s="4">
        <v>3.4</v>
      </c>
      <c r="M247">
        <v>750471.34</v>
      </c>
      <c r="N247">
        <v>133788.04</v>
      </c>
      <c r="O247">
        <f t="shared" si="18"/>
        <v>0</v>
      </c>
      <c r="P247">
        <f t="shared" si="19"/>
        <v>0</v>
      </c>
      <c r="Q247">
        <f t="shared" si="20"/>
        <v>0</v>
      </c>
      <c r="R247">
        <f t="shared" si="21"/>
        <v>0</v>
      </c>
      <c r="S247">
        <f t="shared" si="22"/>
        <v>0</v>
      </c>
      <c r="T247">
        <f t="shared" si="23"/>
        <v>0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>
        <v>0</v>
      </c>
      <c r="L248" s="4">
        <v>3.1</v>
      </c>
      <c r="M248">
        <v>679230.86</v>
      </c>
      <c r="N248">
        <v>106927.58</v>
      </c>
      <c r="O248">
        <f t="shared" si="18"/>
        <v>0</v>
      </c>
      <c r="P248">
        <f t="shared" si="19"/>
        <v>0</v>
      </c>
      <c r="Q248">
        <f t="shared" si="20"/>
        <v>0</v>
      </c>
      <c r="R248">
        <f t="shared" si="21"/>
        <v>0</v>
      </c>
      <c r="S248">
        <f t="shared" si="22"/>
        <v>0</v>
      </c>
      <c r="T248">
        <f t="shared" si="23"/>
        <v>0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>
        <v>0</v>
      </c>
      <c r="L249" s="4">
        <v>3.3</v>
      </c>
      <c r="M249">
        <v>679888.74</v>
      </c>
      <c r="N249">
        <v>83406.89</v>
      </c>
      <c r="O249">
        <f t="shared" si="18"/>
        <v>0</v>
      </c>
      <c r="P249">
        <f t="shared" si="19"/>
        <v>0</v>
      </c>
      <c r="Q249">
        <f t="shared" si="20"/>
        <v>0</v>
      </c>
      <c r="R249">
        <f t="shared" si="21"/>
        <v>0</v>
      </c>
      <c r="S249">
        <f t="shared" si="22"/>
        <v>0</v>
      </c>
      <c r="T249">
        <f t="shared" si="23"/>
        <v>0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>
        <v>0</v>
      </c>
      <c r="L250" s="4">
        <v>3.8</v>
      </c>
      <c r="M250">
        <v>606783.67000000004</v>
      </c>
      <c r="N250">
        <v>74515.87</v>
      </c>
      <c r="O250">
        <f t="shared" si="18"/>
        <v>1</v>
      </c>
      <c r="P250">
        <f t="shared" si="19"/>
        <v>0</v>
      </c>
      <c r="Q250">
        <f t="shared" si="20"/>
        <v>0</v>
      </c>
      <c r="R250">
        <f t="shared" si="21"/>
        <v>0</v>
      </c>
      <c r="S250">
        <f t="shared" si="22"/>
        <v>0</v>
      </c>
      <c r="T250">
        <f t="shared" si="23"/>
        <v>0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>
        <v>0</v>
      </c>
      <c r="L251" s="4">
        <v>3.6</v>
      </c>
      <c r="M251">
        <v>642751.42000000004</v>
      </c>
      <c r="N251">
        <v>131942.15</v>
      </c>
      <c r="O251">
        <f t="shared" si="18"/>
        <v>1</v>
      </c>
      <c r="P251">
        <f t="shared" si="19"/>
        <v>0</v>
      </c>
      <c r="Q251">
        <f t="shared" si="20"/>
        <v>0</v>
      </c>
      <c r="R251">
        <f t="shared" si="21"/>
        <v>0</v>
      </c>
      <c r="S251">
        <f t="shared" si="22"/>
        <v>0</v>
      </c>
      <c r="T251">
        <f t="shared" si="23"/>
        <v>0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>
        <v>0</v>
      </c>
      <c r="L252" s="4">
        <v>4</v>
      </c>
      <c r="M252">
        <v>647953.78</v>
      </c>
      <c r="N252">
        <v>118497.43</v>
      </c>
      <c r="O252">
        <f t="shared" si="18"/>
        <v>1</v>
      </c>
      <c r="P252">
        <f t="shared" si="19"/>
        <v>0</v>
      </c>
      <c r="Q252">
        <f t="shared" si="20"/>
        <v>0</v>
      </c>
      <c r="R252">
        <f t="shared" si="21"/>
        <v>0</v>
      </c>
      <c r="S252">
        <f t="shared" si="22"/>
        <v>0</v>
      </c>
      <c r="T252">
        <f t="shared" si="23"/>
        <v>0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>
        <v>0</v>
      </c>
      <c r="L253" s="4">
        <v>4</v>
      </c>
      <c r="M253">
        <v>729440.45</v>
      </c>
      <c r="N253">
        <v>87614.29</v>
      </c>
      <c r="O253">
        <f t="shared" si="18"/>
        <v>1</v>
      </c>
      <c r="P253">
        <f t="shared" si="19"/>
        <v>0</v>
      </c>
      <c r="Q253">
        <f t="shared" si="20"/>
        <v>0</v>
      </c>
      <c r="R253">
        <f t="shared" si="21"/>
        <v>0</v>
      </c>
      <c r="S253">
        <f t="shared" si="22"/>
        <v>0</v>
      </c>
      <c r="T253">
        <f t="shared" si="23"/>
        <v>0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>
        <v>0</v>
      </c>
      <c r="L254" s="4">
        <v>3.7</v>
      </c>
      <c r="M254">
        <v>764949</v>
      </c>
      <c r="N254">
        <v>148322.43</v>
      </c>
      <c r="O254">
        <f t="shared" si="18"/>
        <v>0</v>
      </c>
      <c r="P254">
        <f t="shared" si="19"/>
        <v>1</v>
      </c>
      <c r="Q254">
        <f t="shared" si="20"/>
        <v>0</v>
      </c>
      <c r="R254">
        <f t="shared" si="21"/>
        <v>1</v>
      </c>
      <c r="S254">
        <f t="shared" si="22"/>
        <v>0</v>
      </c>
      <c r="T254">
        <f t="shared" si="23"/>
        <v>0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>
        <v>0</v>
      </c>
      <c r="L255" s="4">
        <v>3.2</v>
      </c>
      <c r="M255">
        <v>799046.94</v>
      </c>
      <c r="N255">
        <v>144553.64000000001</v>
      </c>
      <c r="O255">
        <f t="shared" si="18"/>
        <v>0</v>
      </c>
      <c r="P255">
        <f t="shared" si="19"/>
        <v>1</v>
      </c>
      <c r="Q255">
        <f t="shared" si="20"/>
        <v>0</v>
      </c>
      <c r="R255">
        <f t="shared" si="21"/>
        <v>1</v>
      </c>
      <c r="S255">
        <f t="shared" si="22"/>
        <v>0</v>
      </c>
      <c r="T255">
        <f t="shared" si="23"/>
        <v>0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>
        <v>0</v>
      </c>
      <c r="L256" s="4">
        <v>3.6</v>
      </c>
      <c r="M256">
        <v>720079.54</v>
      </c>
      <c r="N256">
        <v>119499.47</v>
      </c>
      <c r="O256">
        <f t="shared" si="18"/>
        <v>0</v>
      </c>
      <c r="P256">
        <f t="shared" si="19"/>
        <v>1</v>
      </c>
      <c r="Q256">
        <f t="shared" si="20"/>
        <v>0</v>
      </c>
      <c r="R256">
        <f t="shared" si="21"/>
        <v>1</v>
      </c>
      <c r="S256">
        <f t="shared" si="22"/>
        <v>0</v>
      </c>
      <c r="T256">
        <f t="shared" si="23"/>
        <v>0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>
        <v>0</v>
      </c>
      <c r="L257" s="4">
        <v>4.0999999999999996</v>
      </c>
      <c r="M257">
        <v>612390.14</v>
      </c>
      <c r="N257">
        <v>108985.74</v>
      </c>
      <c r="O257">
        <f t="shared" si="18"/>
        <v>0</v>
      </c>
      <c r="P257">
        <f t="shared" si="19"/>
        <v>1</v>
      </c>
      <c r="Q257">
        <f t="shared" si="20"/>
        <v>0</v>
      </c>
      <c r="R257">
        <f t="shared" si="21"/>
        <v>1</v>
      </c>
      <c r="S257">
        <f t="shared" si="22"/>
        <v>0</v>
      </c>
      <c r="T257">
        <f t="shared" si="23"/>
        <v>0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>
        <v>1</v>
      </c>
      <c r="L258" s="4">
        <v>4.3</v>
      </c>
      <c r="M258">
        <v>840108.12</v>
      </c>
      <c r="N258">
        <v>126587.01</v>
      </c>
      <c r="O258">
        <f t="shared" si="18"/>
        <v>0</v>
      </c>
      <c r="P258">
        <f t="shared" si="19"/>
        <v>1</v>
      </c>
      <c r="Q258">
        <f t="shared" si="20"/>
        <v>0</v>
      </c>
      <c r="R258">
        <f t="shared" si="21"/>
        <v>0</v>
      </c>
      <c r="S258">
        <f t="shared" si="22"/>
        <v>1</v>
      </c>
      <c r="T258">
        <f t="shared" si="23"/>
        <v>0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>
        <v>0</v>
      </c>
      <c r="L259" s="4">
        <v>4.5999999999999996</v>
      </c>
      <c r="M259">
        <v>697888.09</v>
      </c>
      <c r="N259">
        <v>116249.87</v>
      </c>
      <c r="O259">
        <f t="shared" ref="O259:O321" si="24">IF(C259="North",1,0)</f>
        <v>0</v>
      </c>
      <c r="P259">
        <f t="shared" ref="P259:P321" si="25">IF(C259="South",1,0)</f>
        <v>1</v>
      </c>
      <c r="Q259">
        <f t="shared" ref="Q259:Q321" si="26">IF(C259="West",1,0)</f>
        <v>0</v>
      </c>
      <c r="R259">
        <f t="shared" ref="R259:R321" si="27">IF(D259="Airport",1,0)</f>
        <v>0</v>
      </c>
      <c r="S259">
        <f t="shared" ref="S259:S321" si="28">IF(D259="Mall",1,0)</f>
        <v>1</v>
      </c>
      <c r="T259">
        <f t="shared" ref="T259:T321" si="29">IF(D259="Residential",1,0)</f>
        <v>0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>
        <v>0</v>
      </c>
      <c r="L260" s="4">
        <v>4.4000000000000004</v>
      </c>
      <c r="M260">
        <v>746115.59</v>
      </c>
      <c r="N260">
        <v>94662.96</v>
      </c>
      <c r="O260">
        <f t="shared" si="24"/>
        <v>0</v>
      </c>
      <c r="P260">
        <f t="shared" si="25"/>
        <v>1</v>
      </c>
      <c r="Q260">
        <f t="shared" si="26"/>
        <v>0</v>
      </c>
      <c r="R260">
        <f t="shared" si="27"/>
        <v>0</v>
      </c>
      <c r="S260">
        <f t="shared" si="28"/>
        <v>1</v>
      </c>
      <c r="T260">
        <f t="shared" si="29"/>
        <v>0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>
        <v>0</v>
      </c>
      <c r="L261" s="4">
        <v>3.6</v>
      </c>
      <c r="M261">
        <v>776110.32</v>
      </c>
      <c r="N261">
        <v>139676.21</v>
      </c>
      <c r="O261">
        <f t="shared" si="24"/>
        <v>0</v>
      </c>
      <c r="P261">
        <f t="shared" si="25"/>
        <v>1</v>
      </c>
      <c r="Q261">
        <f t="shared" si="26"/>
        <v>0</v>
      </c>
      <c r="R261">
        <f t="shared" si="27"/>
        <v>0</v>
      </c>
      <c r="S261">
        <f t="shared" si="28"/>
        <v>1</v>
      </c>
      <c r="T261">
        <f t="shared" si="29"/>
        <v>0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>
        <v>0</v>
      </c>
      <c r="L262" s="4">
        <v>4.2</v>
      </c>
      <c r="M262">
        <v>528852.62</v>
      </c>
      <c r="N262">
        <v>68426.210000000006</v>
      </c>
      <c r="O262">
        <f t="shared" si="24"/>
        <v>0</v>
      </c>
      <c r="P262">
        <f t="shared" si="25"/>
        <v>0</v>
      </c>
      <c r="Q262">
        <f t="shared" si="26"/>
        <v>1</v>
      </c>
      <c r="R262">
        <f t="shared" si="27"/>
        <v>0</v>
      </c>
      <c r="S262">
        <f t="shared" si="28"/>
        <v>0</v>
      </c>
      <c r="T262">
        <f t="shared" si="29"/>
        <v>0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J263" s="4"/>
      <c r="K263">
        <v>0</v>
      </c>
      <c r="L263" s="4">
        <v>4.2</v>
      </c>
      <c r="M263">
        <v>605751.32999999996</v>
      </c>
      <c r="N263">
        <v>60685.53</v>
      </c>
      <c r="O263">
        <f t="shared" si="24"/>
        <v>0</v>
      </c>
      <c r="P263">
        <f t="shared" si="25"/>
        <v>0</v>
      </c>
      <c r="Q263">
        <f t="shared" si="26"/>
        <v>1</v>
      </c>
      <c r="R263">
        <f t="shared" si="27"/>
        <v>0</v>
      </c>
      <c r="S263">
        <f t="shared" si="28"/>
        <v>0</v>
      </c>
      <c r="T263">
        <f t="shared" si="29"/>
        <v>0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>
        <v>1</v>
      </c>
      <c r="L264" s="4">
        <v>4.2</v>
      </c>
      <c r="M264">
        <v>677640.65</v>
      </c>
      <c r="N264">
        <v>111610.89</v>
      </c>
      <c r="O264">
        <f t="shared" si="24"/>
        <v>0</v>
      </c>
      <c r="P264">
        <f t="shared" si="25"/>
        <v>0</v>
      </c>
      <c r="Q264">
        <f t="shared" si="26"/>
        <v>1</v>
      </c>
      <c r="R264">
        <f t="shared" si="27"/>
        <v>0</v>
      </c>
      <c r="S264">
        <f t="shared" si="28"/>
        <v>0</v>
      </c>
      <c r="T264">
        <f t="shared" si="29"/>
        <v>0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>
        <v>0</v>
      </c>
      <c r="L265" s="4">
        <v>3.7</v>
      </c>
      <c r="M265">
        <v>636613.23</v>
      </c>
      <c r="N265">
        <v>78908.350000000006</v>
      </c>
      <c r="O265">
        <f t="shared" si="24"/>
        <v>0</v>
      </c>
      <c r="P265">
        <f t="shared" si="25"/>
        <v>0</v>
      </c>
      <c r="Q265">
        <f t="shared" si="26"/>
        <v>1</v>
      </c>
      <c r="R265">
        <f t="shared" si="27"/>
        <v>0</v>
      </c>
      <c r="S265">
        <f t="shared" si="28"/>
        <v>0</v>
      </c>
      <c r="T265">
        <f t="shared" si="29"/>
        <v>0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>
        <v>0</v>
      </c>
      <c r="L266" s="4">
        <v>3.5</v>
      </c>
      <c r="M266">
        <v>708985.19</v>
      </c>
      <c r="N266">
        <v>125368.16</v>
      </c>
      <c r="O266">
        <f t="shared" si="24"/>
        <v>0</v>
      </c>
      <c r="P266">
        <f t="shared" si="25"/>
        <v>0</v>
      </c>
      <c r="Q266">
        <f t="shared" si="26"/>
        <v>0</v>
      </c>
      <c r="R266">
        <f t="shared" si="27"/>
        <v>0</v>
      </c>
      <c r="S266">
        <f t="shared" si="28"/>
        <v>0</v>
      </c>
      <c r="T266">
        <f t="shared" si="29"/>
        <v>0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>
        <v>0</v>
      </c>
      <c r="L267" s="4">
        <v>3.7</v>
      </c>
      <c r="M267">
        <v>767792.94</v>
      </c>
      <c r="N267">
        <v>96235.77</v>
      </c>
      <c r="O267">
        <f t="shared" si="24"/>
        <v>0</v>
      </c>
      <c r="P267">
        <f t="shared" si="25"/>
        <v>0</v>
      </c>
      <c r="Q267">
        <f t="shared" si="26"/>
        <v>0</v>
      </c>
      <c r="R267">
        <f t="shared" si="27"/>
        <v>0</v>
      </c>
      <c r="S267">
        <f t="shared" si="28"/>
        <v>0</v>
      </c>
      <c r="T267">
        <f t="shared" si="29"/>
        <v>0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>
        <v>0</v>
      </c>
      <c r="L268" s="4">
        <v>3.7</v>
      </c>
      <c r="M268">
        <v>745580.51</v>
      </c>
      <c r="N268">
        <v>116273.68</v>
      </c>
      <c r="O268">
        <f t="shared" si="24"/>
        <v>0</v>
      </c>
      <c r="P268">
        <f t="shared" si="25"/>
        <v>0</v>
      </c>
      <c r="Q268">
        <f t="shared" si="26"/>
        <v>0</v>
      </c>
      <c r="R268">
        <f t="shared" si="27"/>
        <v>0</v>
      </c>
      <c r="S268">
        <f t="shared" si="28"/>
        <v>0</v>
      </c>
      <c r="T268">
        <f t="shared" si="29"/>
        <v>0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>
        <v>0</v>
      </c>
      <c r="L269" s="4">
        <v>3.5</v>
      </c>
      <c r="M269">
        <v>762328.31</v>
      </c>
      <c r="N269">
        <v>159158.19</v>
      </c>
      <c r="O269">
        <f t="shared" si="24"/>
        <v>0</v>
      </c>
      <c r="P269">
        <f t="shared" si="25"/>
        <v>0</v>
      </c>
      <c r="Q269">
        <f t="shared" si="26"/>
        <v>0</v>
      </c>
      <c r="R269">
        <f t="shared" si="27"/>
        <v>0</v>
      </c>
      <c r="S269">
        <f t="shared" si="28"/>
        <v>0</v>
      </c>
      <c r="T269">
        <f t="shared" si="29"/>
        <v>0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>
        <v>0</v>
      </c>
      <c r="L270" s="4">
        <v>3.6</v>
      </c>
      <c r="M270">
        <v>660633.99</v>
      </c>
      <c r="N270">
        <v>118768.66</v>
      </c>
      <c r="O270">
        <f t="shared" si="24"/>
        <v>0</v>
      </c>
      <c r="P270">
        <f t="shared" si="25"/>
        <v>0</v>
      </c>
      <c r="Q270">
        <f t="shared" si="26"/>
        <v>0</v>
      </c>
      <c r="R270">
        <f t="shared" si="27"/>
        <v>0</v>
      </c>
      <c r="S270">
        <f t="shared" si="28"/>
        <v>1</v>
      </c>
      <c r="T270">
        <f t="shared" si="29"/>
        <v>0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>
        <v>0</v>
      </c>
      <c r="L271" s="4">
        <v>3.5</v>
      </c>
      <c r="M271">
        <v>739374.56</v>
      </c>
      <c r="N271">
        <v>121032.29</v>
      </c>
      <c r="O271">
        <f t="shared" si="24"/>
        <v>0</v>
      </c>
      <c r="P271">
        <f t="shared" si="25"/>
        <v>0</v>
      </c>
      <c r="Q271">
        <f t="shared" si="26"/>
        <v>0</v>
      </c>
      <c r="R271">
        <f t="shared" si="27"/>
        <v>0</v>
      </c>
      <c r="S271">
        <f t="shared" si="28"/>
        <v>1</v>
      </c>
      <c r="T271">
        <f t="shared" si="29"/>
        <v>0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>
        <v>1</v>
      </c>
      <c r="L272" s="4">
        <v>3.8</v>
      </c>
      <c r="M272">
        <v>799756.46</v>
      </c>
      <c r="N272">
        <v>105052.93</v>
      </c>
      <c r="O272">
        <f t="shared" si="24"/>
        <v>0</v>
      </c>
      <c r="P272">
        <f t="shared" si="25"/>
        <v>0</v>
      </c>
      <c r="Q272">
        <f t="shared" si="26"/>
        <v>0</v>
      </c>
      <c r="R272">
        <f t="shared" si="27"/>
        <v>0</v>
      </c>
      <c r="S272">
        <f t="shared" si="28"/>
        <v>1</v>
      </c>
      <c r="T272">
        <f t="shared" si="29"/>
        <v>0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>
        <v>0</v>
      </c>
      <c r="L273" s="4">
        <v>3.2</v>
      </c>
      <c r="M273">
        <v>593343</v>
      </c>
      <c r="N273">
        <v>82832.240000000005</v>
      </c>
      <c r="O273">
        <f t="shared" si="24"/>
        <v>0</v>
      </c>
      <c r="P273">
        <f t="shared" si="25"/>
        <v>0</v>
      </c>
      <c r="Q273">
        <f t="shared" si="26"/>
        <v>0</v>
      </c>
      <c r="R273">
        <f t="shared" si="27"/>
        <v>0</v>
      </c>
      <c r="S273">
        <f t="shared" si="28"/>
        <v>1</v>
      </c>
      <c r="T273">
        <f t="shared" si="29"/>
        <v>0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>
        <v>0</v>
      </c>
      <c r="L274" s="4">
        <v>3.3</v>
      </c>
      <c r="M274">
        <v>645039.97</v>
      </c>
      <c r="N274">
        <v>83093.33</v>
      </c>
      <c r="O274">
        <f t="shared" si="24"/>
        <v>0</v>
      </c>
      <c r="P274">
        <f t="shared" si="25"/>
        <v>0</v>
      </c>
      <c r="Q274">
        <f t="shared" si="26"/>
        <v>1</v>
      </c>
      <c r="R274">
        <f t="shared" si="27"/>
        <v>0</v>
      </c>
      <c r="S274">
        <f t="shared" si="28"/>
        <v>0</v>
      </c>
      <c r="T274">
        <f t="shared" si="29"/>
        <v>0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>
        <v>0</v>
      </c>
      <c r="L275" s="4">
        <v>3.1</v>
      </c>
      <c r="M275">
        <v>561597.32999999996</v>
      </c>
      <c r="N275">
        <v>75072.75</v>
      </c>
      <c r="O275">
        <f t="shared" si="24"/>
        <v>0</v>
      </c>
      <c r="P275">
        <f t="shared" si="25"/>
        <v>0</v>
      </c>
      <c r="Q275">
        <f t="shared" si="26"/>
        <v>1</v>
      </c>
      <c r="R275">
        <f t="shared" si="27"/>
        <v>0</v>
      </c>
      <c r="S275">
        <f t="shared" si="28"/>
        <v>0</v>
      </c>
      <c r="T275">
        <f t="shared" si="29"/>
        <v>0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>
        <v>0</v>
      </c>
      <c r="L276" s="4">
        <v>3.1</v>
      </c>
      <c r="M276">
        <v>635837.74</v>
      </c>
      <c r="N276">
        <v>114740.64</v>
      </c>
      <c r="O276">
        <f t="shared" si="24"/>
        <v>0</v>
      </c>
      <c r="P276">
        <f t="shared" si="25"/>
        <v>0</v>
      </c>
      <c r="Q276">
        <f t="shared" si="26"/>
        <v>1</v>
      </c>
      <c r="R276">
        <f t="shared" si="27"/>
        <v>0</v>
      </c>
      <c r="S276">
        <f t="shared" si="28"/>
        <v>0</v>
      </c>
      <c r="T276">
        <f t="shared" si="29"/>
        <v>0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>
        <v>0</v>
      </c>
      <c r="L277" s="4">
        <v>3</v>
      </c>
      <c r="M277">
        <v>686737.87</v>
      </c>
      <c r="N277">
        <v>83839.67</v>
      </c>
      <c r="O277">
        <f t="shared" si="24"/>
        <v>0</v>
      </c>
      <c r="P277">
        <f t="shared" si="25"/>
        <v>0</v>
      </c>
      <c r="Q277">
        <f t="shared" si="26"/>
        <v>1</v>
      </c>
      <c r="R277">
        <f t="shared" si="27"/>
        <v>0</v>
      </c>
      <c r="S277">
        <f t="shared" si="28"/>
        <v>0</v>
      </c>
      <c r="T277">
        <f t="shared" si="29"/>
        <v>0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>
        <v>1</v>
      </c>
      <c r="L278" s="4">
        <v>3.4</v>
      </c>
      <c r="M278">
        <v>673076.34</v>
      </c>
      <c r="N278">
        <v>93899.76</v>
      </c>
      <c r="O278">
        <f t="shared" si="24"/>
        <v>0</v>
      </c>
      <c r="P278">
        <f t="shared" si="25"/>
        <v>1</v>
      </c>
      <c r="Q278">
        <f t="shared" si="26"/>
        <v>0</v>
      </c>
      <c r="R278">
        <f t="shared" si="27"/>
        <v>0</v>
      </c>
      <c r="S278">
        <f t="shared" si="28"/>
        <v>0</v>
      </c>
      <c r="T278">
        <f t="shared" si="29"/>
        <v>1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>
        <v>0</v>
      </c>
      <c r="L279" s="4">
        <v>4</v>
      </c>
      <c r="M279">
        <v>738548.42</v>
      </c>
      <c r="N279">
        <v>134282.76999999999</v>
      </c>
      <c r="O279">
        <f t="shared" si="24"/>
        <v>0</v>
      </c>
      <c r="P279">
        <f t="shared" si="25"/>
        <v>1</v>
      </c>
      <c r="Q279">
        <f t="shared" si="26"/>
        <v>0</v>
      </c>
      <c r="R279">
        <f t="shared" si="27"/>
        <v>0</v>
      </c>
      <c r="S279">
        <f t="shared" si="28"/>
        <v>0</v>
      </c>
      <c r="T279">
        <f t="shared" si="29"/>
        <v>1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>
        <v>0</v>
      </c>
      <c r="L280" s="4">
        <v>3.9</v>
      </c>
      <c r="M280">
        <v>756619.77</v>
      </c>
      <c r="N280">
        <v>112057.69</v>
      </c>
      <c r="O280">
        <f t="shared" si="24"/>
        <v>0</v>
      </c>
      <c r="P280">
        <f t="shared" si="25"/>
        <v>1</v>
      </c>
      <c r="Q280">
        <f t="shared" si="26"/>
        <v>0</v>
      </c>
      <c r="R280">
        <f t="shared" si="27"/>
        <v>0</v>
      </c>
      <c r="S280">
        <f t="shared" si="28"/>
        <v>0</v>
      </c>
      <c r="T280">
        <f t="shared" si="29"/>
        <v>1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>
        <v>0</v>
      </c>
      <c r="L281" s="4">
        <v>3.7</v>
      </c>
      <c r="M281">
        <v>761122.42</v>
      </c>
      <c r="N281">
        <v>149802.04</v>
      </c>
      <c r="O281">
        <f t="shared" si="24"/>
        <v>0</v>
      </c>
      <c r="P281">
        <f t="shared" si="25"/>
        <v>1</v>
      </c>
      <c r="Q281">
        <f t="shared" si="26"/>
        <v>0</v>
      </c>
      <c r="R281">
        <f t="shared" si="27"/>
        <v>0</v>
      </c>
      <c r="S281">
        <f t="shared" si="28"/>
        <v>0</v>
      </c>
      <c r="T281">
        <f t="shared" si="29"/>
        <v>1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>
        <v>1</v>
      </c>
      <c r="L282" s="4">
        <v>3.8</v>
      </c>
      <c r="M282">
        <v>524899.56999999995</v>
      </c>
      <c r="N282">
        <v>63619.98</v>
      </c>
      <c r="O282">
        <f t="shared" si="24"/>
        <v>0</v>
      </c>
      <c r="P282">
        <f t="shared" si="25"/>
        <v>1</v>
      </c>
      <c r="Q282">
        <f t="shared" si="26"/>
        <v>0</v>
      </c>
      <c r="R282">
        <f t="shared" si="27"/>
        <v>0</v>
      </c>
      <c r="S282">
        <f t="shared" si="28"/>
        <v>0</v>
      </c>
      <c r="T282">
        <f t="shared" si="29"/>
        <v>0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>
        <v>0</v>
      </c>
      <c r="L283" s="4">
        <v>4</v>
      </c>
      <c r="M283">
        <v>555557.77</v>
      </c>
      <c r="N283">
        <v>86475.51</v>
      </c>
      <c r="O283">
        <f t="shared" si="24"/>
        <v>0</v>
      </c>
      <c r="P283">
        <f t="shared" si="25"/>
        <v>1</v>
      </c>
      <c r="Q283">
        <f t="shared" si="26"/>
        <v>0</v>
      </c>
      <c r="R283">
        <f t="shared" si="27"/>
        <v>0</v>
      </c>
      <c r="S283">
        <f t="shared" si="28"/>
        <v>0</v>
      </c>
      <c r="T283">
        <f t="shared" si="29"/>
        <v>0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>
        <v>0</v>
      </c>
      <c r="L284" s="4">
        <v>4</v>
      </c>
      <c r="M284">
        <v>714083.68</v>
      </c>
      <c r="N284">
        <v>127231.74</v>
      </c>
      <c r="O284">
        <f t="shared" si="24"/>
        <v>0</v>
      </c>
      <c r="P284">
        <f t="shared" si="25"/>
        <v>1</v>
      </c>
      <c r="Q284">
        <f t="shared" si="26"/>
        <v>0</v>
      </c>
      <c r="R284">
        <f t="shared" si="27"/>
        <v>0</v>
      </c>
      <c r="S284">
        <f t="shared" si="28"/>
        <v>0</v>
      </c>
      <c r="T284">
        <f t="shared" si="29"/>
        <v>0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>
        <v>0</v>
      </c>
      <c r="L285" s="4">
        <v>4.2</v>
      </c>
      <c r="M285">
        <v>497439.82</v>
      </c>
      <c r="N285">
        <v>93372.75</v>
      </c>
      <c r="O285">
        <f t="shared" si="24"/>
        <v>0</v>
      </c>
      <c r="P285">
        <f t="shared" si="25"/>
        <v>1</v>
      </c>
      <c r="Q285">
        <f t="shared" si="26"/>
        <v>0</v>
      </c>
      <c r="R285">
        <f t="shared" si="27"/>
        <v>0</v>
      </c>
      <c r="S285">
        <f t="shared" si="28"/>
        <v>0</v>
      </c>
      <c r="T285">
        <f t="shared" si="29"/>
        <v>0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>
        <v>1</v>
      </c>
      <c r="L286" s="4">
        <v>4.5</v>
      </c>
      <c r="M286">
        <v>636775.66</v>
      </c>
      <c r="N286">
        <v>122636.86</v>
      </c>
      <c r="O286">
        <f t="shared" si="24"/>
        <v>0</v>
      </c>
      <c r="P286">
        <f t="shared" si="25"/>
        <v>0</v>
      </c>
      <c r="Q286">
        <f t="shared" si="26"/>
        <v>1</v>
      </c>
      <c r="R286">
        <f t="shared" si="27"/>
        <v>0</v>
      </c>
      <c r="S286">
        <f t="shared" si="28"/>
        <v>0</v>
      </c>
      <c r="T286">
        <f t="shared" si="29"/>
        <v>1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>
        <v>0</v>
      </c>
      <c r="L287" s="4">
        <v>4.5</v>
      </c>
      <c r="M287">
        <v>633009.53</v>
      </c>
      <c r="N287">
        <v>123782.67</v>
      </c>
      <c r="O287">
        <f t="shared" si="24"/>
        <v>0</v>
      </c>
      <c r="P287">
        <f t="shared" si="25"/>
        <v>0</v>
      </c>
      <c r="Q287">
        <f t="shared" si="26"/>
        <v>1</v>
      </c>
      <c r="R287">
        <f t="shared" si="27"/>
        <v>0</v>
      </c>
      <c r="S287">
        <f t="shared" si="28"/>
        <v>0</v>
      </c>
      <c r="T287">
        <f t="shared" si="29"/>
        <v>1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>
        <v>1</v>
      </c>
      <c r="L288" s="4">
        <v>4.2</v>
      </c>
      <c r="M288">
        <v>609949</v>
      </c>
      <c r="N288">
        <v>126789.25</v>
      </c>
      <c r="O288">
        <f t="shared" si="24"/>
        <v>0</v>
      </c>
      <c r="P288">
        <f t="shared" si="25"/>
        <v>0</v>
      </c>
      <c r="Q288">
        <f t="shared" si="26"/>
        <v>1</v>
      </c>
      <c r="R288">
        <f t="shared" si="27"/>
        <v>0</v>
      </c>
      <c r="S288">
        <f t="shared" si="28"/>
        <v>0</v>
      </c>
      <c r="T288">
        <f t="shared" si="29"/>
        <v>1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>
        <v>0</v>
      </c>
      <c r="L289" s="4">
        <v>4.8</v>
      </c>
      <c r="M289">
        <v>548103.69999999995</v>
      </c>
      <c r="N289">
        <v>99905.52</v>
      </c>
      <c r="O289">
        <f t="shared" si="24"/>
        <v>0</v>
      </c>
      <c r="P289">
        <f t="shared" si="25"/>
        <v>0</v>
      </c>
      <c r="Q289">
        <f t="shared" si="26"/>
        <v>1</v>
      </c>
      <c r="R289">
        <f t="shared" si="27"/>
        <v>0</v>
      </c>
      <c r="S289">
        <f t="shared" si="28"/>
        <v>0</v>
      </c>
      <c r="T289">
        <f t="shared" si="29"/>
        <v>1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>
        <v>0</v>
      </c>
      <c r="L290" s="4">
        <v>3.7</v>
      </c>
      <c r="M290">
        <v>729424.42</v>
      </c>
      <c r="N290">
        <v>75592.28</v>
      </c>
      <c r="O290">
        <f t="shared" si="24"/>
        <v>0</v>
      </c>
      <c r="P290">
        <f t="shared" si="25"/>
        <v>0</v>
      </c>
      <c r="Q290">
        <f t="shared" si="26"/>
        <v>0</v>
      </c>
      <c r="R290">
        <f t="shared" si="27"/>
        <v>0</v>
      </c>
      <c r="S290">
        <f t="shared" si="28"/>
        <v>0</v>
      </c>
      <c r="T290">
        <f t="shared" si="29"/>
        <v>1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>
        <v>0</v>
      </c>
      <c r="L291" s="4">
        <v>4</v>
      </c>
      <c r="M291">
        <v>696261.49</v>
      </c>
      <c r="N291">
        <v>72455.350000000006</v>
      </c>
      <c r="O291">
        <f t="shared" si="24"/>
        <v>0</v>
      </c>
      <c r="P291">
        <f t="shared" si="25"/>
        <v>0</v>
      </c>
      <c r="Q291">
        <f t="shared" si="26"/>
        <v>0</v>
      </c>
      <c r="R291">
        <f t="shared" si="27"/>
        <v>0</v>
      </c>
      <c r="S291">
        <f t="shared" si="28"/>
        <v>0</v>
      </c>
      <c r="T291">
        <f t="shared" si="29"/>
        <v>1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>
        <v>1</v>
      </c>
      <c r="L292" s="4">
        <v>4.3</v>
      </c>
      <c r="M292">
        <v>813316.71</v>
      </c>
      <c r="N292">
        <v>110077.42</v>
      </c>
      <c r="O292">
        <f t="shared" si="24"/>
        <v>0</v>
      </c>
      <c r="P292">
        <f t="shared" si="25"/>
        <v>0</v>
      </c>
      <c r="Q292">
        <f t="shared" si="26"/>
        <v>0</v>
      </c>
      <c r="R292">
        <f t="shared" si="27"/>
        <v>0</v>
      </c>
      <c r="S292">
        <f t="shared" si="28"/>
        <v>0</v>
      </c>
      <c r="T292">
        <f t="shared" si="29"/>
        <v>1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>
        <v>0</v>
      </c>
      <c r="L293" s="4">
        <v>4.0999999999999996</v>
      </c>
      <c r="M293">
        <v>702068.92</v>
      </c>
      <c r="N293">
        <v>111266.63</v>
      </c>
      <c r="O293">
        <f t="shared" si="24"/>
        <v>0</v>
      </c>
      <c r="P293">
        <f t="shared" si="25"/>
        <v>0</v>
      </c>
      <c r="Q293">
        <f t="shared" si="26"/>
        <v>0</v>
      </c>
      <c r="R293">
        <f t="shared" si="27"/>
        <v>0</v>
      </c>
      <c r="S293">
        <f t="shared" si="28"/>
        <v>0</v>
      </c>
      <c r="T293">
        <f t="shared" si="29"/>
        <v>1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>
        <v>0</v>
      </c>
      <c r="L294" s="4">
        <v>4.5</v>
      </c>
      <c r="M294">
        <v>546223.69999999995</v>
      </c>
      <c r="N294">
        <v>100769.17</v>
      </c>
      <c r="O294">
        <f t="shared" si="24"/>
        <v>0</v>
      </c>
      <c r="P294">
        <f t="shared" si="25"/>
        <v>0</v>
      </c>
      <c r="Q294">
        <f t="shared" si="26"/>
        <v>1</v>
      </c>
      <c r="R294">
        <f t="shared" si="27"/>
        <v>0</v>
      </c>
      <c r="S294">
        <f t="shared" si="28"/>
        <v>0</v>
      </c>
      <c r="T294">
        <f t="shared" si="29"/>
        <v>0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>
        <v>0</v>
      </c>
      <c r="L295" s="4">
        <v>4.2</v>
      </c>
      <c r="M295">
        <v>533121.26</v>
      </c>
      <c r="N295">
        <v>55063.39</v>
      </c>
      <c r="O295">
        <f t="shared" si="24"/>
        <v>0</v>
      </c>
      <c r="P295">
        <f t="shared" si="25"/>
        <v>0</v>
      </c>
      <c r="Q295">
        <f t="shared" si="26"/>
        <v>1</v>
      </c>
      <c r="R295">
        <f t="shared" si="27"/>
        <v>0</v>
      </c>
      <c r="S295">
        <f t="shared" si="28"/>
        <v>0</v>
      </c>
      <c r="T295">
        <f t="shared" si="29"/>
        <v>0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>
        <v>0</v>
      </c>
      <c r="L296" s="4">
        <v>4.7</v>
      </c>
      <c r="M296">
        <v>498970.32</v>
      </c>
      <c r="N296">
        <v>69656.7</v>
      </c>
      <c r="O296">
        <f t="shared" si="24"/>
        <v>0</v>
      </c>
      <c r="P296">
        <f t="shared" si="25"/>
        <v>0</v>
      </c>
      <c r="Q296">
        <f t="shared" si="26"/>
        <v>1</v>
      </c>
      <c r="R296">
        <f t="shared" si="27"/>
        <v>0</v>
      </c>
      <c r="S296">
        <f t="shared" si="28"/>
        <v>0</v>
      </c>
      <c r="T296">
        <f t="shared" si="29"/>
        <v>0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>
        <v>0</v>
      </c>
      <c r="L297" s="4">
        <v>4.5999999999999996</v>
      </c>
      <c r="M297">
        <v>487738.26</v>
      </c>
      <c r="N297">
        <v>96435.6</v>
      </c>
      <c r="O297">
        <f t="shared" si="24"/>
        <v>0</v>
      </c>
      <c r="P297">
        <f t="shared" si="25"/>
        <v>0</v>
      </c>
      <c r="Q297">
        <f t="shared" si="26"/>
        <v>1</v>
      </c>
      <c r="R297">
        <f t="shared" si="27"/>
        <v>0</v>
      </c>
      <c r="S297">
        <f t="shared" si="28"/>
        <v>0</v>
      </c>
      <c r="T297">
        <f t="shared" si="29"/>
        <v>0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>
        <v>0</v>
      </c>
      <c r="L298" s="4">
        <v>3.3</v>
      </c>
      <c r="M298">
        <v>668459.37</v>
      </c>
      <c r="N298">
        <v>126435.42</v>
      </c>
      <c r="O298">
        <f t="shared" si="24"/>
        <v>0</v>
      </c>
      <c r="P298">
        <f t="shared" si="25"/>
        <v>0</v>
      </c>
      <c r="Q298">
        <f t="shared" si="26"/>
        <v>1</v>
      </c>
      <c r="R298">
        <f t="shared" si="27"/>
        <v>0</v>
      </c>
      <c r="S298">
        <f t="shared" si="28"/>
        <v>0</v>
      </c>
      <c r="T298">
        <f t="shared" si="29"/>
        <v>0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>
        <v>0</v>
      </c>
      <c r="L299" s="4">
        <v>3.3</v>
      </c>
      <c r="M299">
        <v>763162.45</v>
      </c>
      <c r="N299">
        <v>162524.04999999999</v>
      </c>
      <c r="O299">
        <f t="shared" si="24"/>
        <v>0</v>
      </c>
      <c r="P299">
        <f t="shared" si="25"/>
        <v>0</v>
      </c>
      <c r="Q299">
        <f t="shared" si="26"/>
        <v>1</v>
      </c>
      <c r="R299">
        <f t="shared" si="27"/>
        <v>0</v>
      </c>
      <c r="S299">
        <f t="shared" si="28"/>
        <v>0</v>
      </c>
      <c r="T299">
        <f t="shared" si="29"/>
        <v>0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>
        <v>0</v>
      </c>
      <c r="L300" s="4">
        <v>3.1</v>
      </c>
      <c r="M300">
        <v>599017.32999999996</v>
      </c>
      <c r="N300">
        <v>134009.92000000001</v>
      </c>
      <c r="O300">
        <f t="shared" si="24"/>
        <v>0</v>
      </c>
      <c r="P300">
        <f t="shared" si="25"/>
        <v>0</v>
      </c>
      <c r="Q300">
        <f t="shared" si="26"/>
        <v>1</v>
      </c>
      <c r="R300">
        <f t="shared" si="27"/>
        <v>0</v>
      </c>
      <c r="S300">
        <f t="shared" si="28"/>
        <v>0</v>
      </c>
      <c r="T300">
        <f t="shared" si="29"/>
        <v>0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>
        <v>0</v>
      </c>
      <c r="L301" s="4">
        <v>3.2</v>
      </c>
      <c r="M301">
        <v>401582.58</v>
      </c>
      <c r="N301">
        <v>68454.929999999993</v>
      </c>
      <c r="O301">
        <f t="shared" si="24"/>
        <v>0</v>
      </c>
      <c r="P301">
        <f t="shared" si="25"/>
        <v>0</v>
      </c>
      <c r="Q301">
        <f t="shared" si="26"/>
        <v>1</v>
      </c>
      <c r="R301">
        <f t="shared" si="27"/>
        <v>0</v>
      </c>
      <c r="S301">
        <f t="shared" si="28"/>
        <v>0</v>
      </c>
      <c r="T301">
        <f t="shared" si="29"/>
        <v>0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>
        <v>1</v>
      </c>
      <c r="L302" s="4">
        <v>4.0999999999999996</v>
      </c>
      <c r="M302">
        <v>703812.99</v>
      </c>
      <c r="N302">
        <v>133577.98000000001</v>
      </c>
      <c r="O302">
        <f t="shared" si="24"/>
        <v>1</v>
      </c>
      <c r="P302">
        <f t="shared" si="25"/>
        <v>0</v>
      </c>
      <c r="Q302">
        <f t="shared" si="26"/>
        <v>0</v>
      </c>
      <c r="R302">
        <f t="shared" si="27"/>
        <v>0</v>
      </c>
      <c r="S302">
        <f t="shared" si="28"/>
        <v>1</v>
      </c>
      <c r="T302">
        <f t="shared" si="29"/>
        <v>0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>
        <v>0</v>
      </c>
      <c r="L303" s="4">
        <v>3.7</v>
      </c>
      <c r="M303">
        <v>724346.73</v>
      </c>
      <c r="N303">
        <v>155013.91</v>
      </c>
      <c r="O303">
        <f t="shared" si="24"/>
        <v>1</v>
      </c>
      <c r="P303">
        <f t="shared" si="25"/>
        <v>0</v>
      </c>
      <c r="Q303">
        <f t="shared" si="26"/>
        <v>0</v>
      </c>
      <c r="R303">
        <f t="shared" si="27"/>
        <v>0</v>
      </c>
      <c r="S303">
        <f t="shared" si="28"/>
        <v>1</v>
      </c>
      <c r="T303">
        <f t="shared" si="29"/>
        <v>0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>
        <v>1</v>
      </c>
      <c r="L304" s="4">
        <v>4.7</v>
      </c>
      <c r="M304">
        <v>730890.01</v>
      </c>
      <c r="N304">
        <v>105502.56</v>
      </c>
      <c r="O304">
        <f t="shared" si="24"/>
        <v>1</v>
      </c>
      <c r="P304">
        <f t="shared" si="25"/>
        <v>0</v>
      </c>
      <c r="Q304">
        <f t="shared" si="26"/>
        <v>0</v>
      </c>
      <c r="R304">
        <f t="shared" si="27"/>
        <v>0</v>
      </c>
      <c r="S304">
        <f t="shared" si="28"/>
        <v>1</v>
      </c>
      <c r="T304">
        <f t="shared" si="29"/>
        <v>0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>
        <v>0</v>
      </c>
      <c r="L305" s="4">
        <v>4.2</v>
      </c>
      <c r="M305">
        <v>780580.95</v>
      </c>
      <c r="N305">
        <v>138144.46</v>
      </c>
      <c r="O305">
        <f t="shared" si="24"/>
        <v>1</v>
      </c>
      <c r="P305">
        <f t="shared" si="25"/>
        <v>0</v>
      </c>
      <c r="Q305">
        <f t="shared" si="26"/>
        <v>0</v>
      </c>
      <c r="R305">
        <f t="shared" si="27"/>
        <v>0</v>
      </c>
      <c r="S305">
        <f t="shared" si="28"/>
        <v>1</v>
      </c>
      <c r="T305">
        <f t="shared" si="29"/>
        <v>0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>
        <v>0</v>
      </c>
      <c r="L306" s="4">
        <v>4</v>
      </c>
      <c r="M306">
        <v>727957.48</v>
      </c>
      <c r="N306">
        <v>74805.23</v>
      </c>
      <c r="O306">
        <f t="shared" si="24"/>
        <v>0</v>
      </c>
      <c r="P306">
        <f t="shared" si="25"/>
        <v>1</v>
      </c>
      <c r="Q306">
        <f t="shared" si="26"/>
        <v>0</v>
      </c>
      <c r="R306">
        <f t="shared" si="27"/>
        <v>0</v>
      </c>
      <c r="S306">
        <f t="shared" si="28"/>
        <v>0</v>
      </c>
      <c r="T306">
        <f t="shared" si="29"/>
        <v>1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>
        <v>0</v>
      </c>
      <c r="L307" s="4">
        <v>3.8</v>
      </c>
      <c r="M307">
        <v>538376</v>
      </c>
      <c r="N307">
        <v>87605.62</v>
      </c>
      <c r="O307">
        <f t="shared" si="24"/>
        <v>0</v>
      </c>
      <c r="P307">
        <f t="shared" si="25"/>
        <v>1</v>
      </c>
      <c r="Q307">
        <f t="shared" si="26"/>
        <v>0</v>
      </c>
      <c r="R307">
        <f t="shared" si="27"/>
        <v>0</v>
      </c>
      <c r="S307">
        <f t="shared" si="28"/>
        <v>0</v>
      </c>
      <c r="T307">
        <f t="shared" si="29"/>
        <v>1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>
        <v>1</v>
      </c>
      <c r="L308" s="4">
        <v>3.7</v>
      </c>
      <c r="M308">
        <v>665342.49</v>
      </c>
      <c r="N308">
        <v>93441.81</v>
      </c>
      <c r="O308">
        <f t="shared" si="24"/>
        <v>0</v>
      </c>
      <c r="P308">
        <f t="shared" si="25"/>
        <v>1</v>
      </c>
      <c r="Q308">
        <f t="shared" si="26"/>
        <v>0</v>
      </c>
      <c r="R308">
        <f t="shared" si="27"/>
        <v>0</v>
      </c>
      <c r="S308">
        <f t="shared" si="28"/>
        <v>0</v>
      </c>
      <c r="T308">
        <f t="shared" si="29"/>
        <v>1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>
        <v>0</v>
      </c>
      <c r="L309" s="4">
        <v>3.5</v>
      </c>
      <c r="M309">
        <v>651164.18000000005</v>
      </c>
      <c r="N309">
        <v>109466.5</v>
      </c>
      <c r="O309">
        <f t="shared" si="24"/>
        <v>0</v>
      </c>
      <c r="P309">
        <f t="shared" si="25"/>
        <v>1</v>
      </c>
      <c r="Q309">
        <f t="shared" si="26"/>
        <v>0</v>
      </c>
      <c r="R309">
        <f t="shared" si="27"/>
        <v>0</v>
      </c>
      <c r="S309">
        <f t="shared" si="28"/>
        <v>0</v>
      </c>
      <c r="T309">
        <f t="shared" si="29"/>
        <v>1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>
        <v>0</v>
      </c>
      <c r="L310" s="4">
        <v>4</v>
      </c>
      <c r="M310">
        <v>628538.30000000005</v>
      </c>
      <c r="N310">
        <v>112509.15</v>
      </c>
      <c r="O310">
        <f t="shared" si="24"/>
        <v>0</v>
      </c>
      <c r="P310">
        <f t="shared" si="25"/>
        <v>1</v>
      </c>
      <c r="Q310">
        <f t="shared" si="26"/>
        <v>0</v>
      </c>
      <c r="R310">
        <f t="shared" si="27"/>
        <v>0</v>
      </c>
      <c r="S310">
        <f t="shared" si="28"/>
        <v>0</v>
      </c>
      <c r="T310">
        <f t="shared" si="29"/>
        <v>0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>
        <v>0</v>
      </c>
      <c r="L311" s="4">
        <v>4.3</v>
      </c>
      <c r="M311">
        <v>536524.84</v>
      </c>
      <c r="N311">
        <v>92752.94</v>
      </c>
      <c r="O311">
        <f t="shared" si="24"/>
        <v>0</v>
      </c>
      <c r="P311">
        <f t="shared" si="25"/>
        <v>1</v>
      </c>
      <c r="Q311">
        <f t="shared" si="26"/>
        <v>0</v>
      </c>
      <c r="R311">
        <f t="shared" si="27"/>
        <v>0</v>
      </c>
      <c r="S311">
        <f t="shared" si="28"/>
        <v>0</v>
      </c>
      <c r="T311">
        <f t="shared" si="29"/>
        <v>0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>
        <v>0</v>
      </c>
      <c r="L312" s="4">
        <v>4.2</v>
      </c>
      <c r="M312">
        <v>621677.30000000005</v>
      </c>
      <c r="N312">
        <v>105192.52</v>
      </c>
      <c r="O312">
        <f t="shared" si="24"/>
        <v>0</v>
      </c>
      <c r="P312">
        <f t="shared" si="25"/>
        <v>1</v>
      </c>
      <c r="Q312">
        <f t="shared" si="26"/>
        <v>0</v>
      </c>
      <c r="R312">
        <f t="shared" si="27"/>
        <v>0</v>
      </c>
      <c r="S312">
        <f t="shared" si="28"/>
        <v>0</v>
      </c>
      <c r="T312">
        <f t="shared" si="29"/>
        <v>0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>
        <v>0</v>
      </c>
      <c r="L313" s="4"/>
      <c r="M313">
        <v>771129.07</v>
      </c>
      <c r="N313">
        <v>116851.13</v>
      </c>
      <c r="O313">
        <f t="shared" si="24"/>
        <v>0</v>
      </c>
      <c r="P313">
        <f t="shared" si="25"/>
        <v>1</v>
      </c>
      <c r="Q313">
        <f t="shared" si="26"/>
        <v>0</v>
      </c>
      <c r="R313">
        <f t="shared" si="27"/>
        <v>0</v>
      </c>
      <c r="S313">
        <f t="shared" si="28"/>
        <v>0</v>
      </c>
      <c r="T313">
        <f t="shared" si="29"/>
        <v>0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>
        <v>0</v>
      </c>
      <c r="L314" s="4">
        <v>3.4</v>
      </c>
      <c r="M314">
        <v>702052.47</v>
      </c>
      <c r="N314">
        <v>121732.51</v>
      </c>
      <c r="O314">
        <f t="shared" si="24"/>
        <v>1</v>
      </c>
      <c r="P314">
        <f t="shared" si="25"/>
        <v>0</v>
      </c>
      <c r="Q314">
        <f t="shared" si="26"/>
        <v>0</v>
      </c>
      <c r="R314">
        <f t="shared" si="27"/>
        <v>0</v>
      </c>
      <c r="S314">
        <f t="shared" si="28"/>
        <v>0</v>
      </c>
      <c r="T314">
        <f t="shared" si="29"/>
        <v>1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>
        <v>0</v>
      </c>
      <c r="L315" s="4"/>
      <c r="M315">
        <v>688368.46</v>
      </c>
      <c r="N315">
        <v>93588.42</v>
      </c>
      <c r="O315">
        <f t="shared" si="24"/>
        <v>1</v>
      </c>
      <c r="P315">
        <f t="shared" si="25"/>
        <v>0</v>
      </c>
      <c r="Q315">
        <f t="shared" si="26"/>
        <v>0</v>
      </c>
      <c r="R315">
        <f t="shared" si="27"/>
        <v>0</v>
      </c>
      <c r="S315">
        <f t="shared" si="28"/>
        <v>0</v>
      </c>
      <c r="T315">
        <f t="shared" si="29"/>
        <v>1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>
        <v>1</v>
      </c>
      <c r="L316" s="4">
        <v>3.9</v>
      </c>
      <c r="M316">
        <v>712375.77</v>
      </c>
      <c r="N316">
        <v>104171.53</v>
      </c>
      <c r="O316">
        <f t="shared" si="24"/>
        <v>1</v>
      </c>
      <c r="P316">
        <f t="shared" si="25"/>
        <v>0</v>
      </c>
      <c r="Q316">
        <f t="shared" si="26"/>
        <v>0</v>
      </c>
      <c r="R316">
        <f t="shared" si="27"/>
        <v>0</v>
      </c>
      <c r="S316">
        <f t="shared" si="28"/>
        <v>0</v>
      </c>
      <c r="T316">
        <f t="shared" si="29"/>
        <v>1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>
        <v>0</v>
      </c>
      <c r="L317" s="4">
        <v>4.2</v>
      </c>
      <c r="M317">
        <v>844710.67</v>
      </c>
      <c r="N317">
        <v>137140.18</v>
      </c>
      <c r="O317">
        <f t="shared" si="24"/>
        <v>1</v>
      </c>
      <c r="P317">
        <f t="shared" si="25"/>
        <v>0</v>
      </c>
      <c r="Q317">
        <f t="shared" si="26"/>
        <v>0</v>
      </c>
      <c r="R317">
        <f t="shared" si="27"/>
        <v>0</v>
      </c>
      <c r="S317">
        <f t="shared" si="28"/>
        <v>0</v>
      </c>
      <c r="T317">
        <f t="shared" si="29"/>
        <v>1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>
        <v>1</v>
      </c>
      <c r="L318" s="4">
        <v>4</v>
      </c>
      <c r="M318">
        <v>620264.19999999995</v>
      </c>
      <c r="N318">
        <v>91365.64</v>
      </c>
      <c r="O318">
        <f t="shared" si="24"/>
        <v>0</v>
      </c>
      <c r="P318">
        <f t="shared" si="25"/>
        <v>0</v>
      </c>
      <c r="Q318">
        <f t="shared" si="26"/>
        <v>0</v>
      </c>
      <c r="R318">
        <f t="shared" si="27"/>
        <v>0</v>
      </c>
      <c r="S318">
        <f t="shared" si="28"/>
        <v>0</v>
      </c>
      <c r="T318">
        <f t="shared" si="29"/>
        <v>1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>
        <v>0</v>
      </c>
      <c r="L319" s="4">
        <v>3.8</v>
      </c>
      <c r="M319">
        <v>536845.42000000004</v>
      </c>
      <c r="N319">
        <v>107473.75</v>
      </c>
      <c r="O319">
        <f t="shared" si="24"/>
        <v>0</v>
      </c>
      <c r="P319">
        <f t="shared" si="25"/>
        <v>0</v>
      </c>
      <c r="Q319">
        <f t="shared" si="26"/>
        <v>0</v>
      </c>
      <c r="R319">
        <f t="shared" si="27"/>
        <v>0</v>
      </c>
      <c r="S319">
        <f t="shared" si="28"/>
        <v>0</v>
      </c>
      <c r="T319">
        <f t="shared" si="29"/>
        <v>1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>
        <v>1</v>
      </c>
      <c r="L320" s="4">
        <v>4.2</v>
      </c>
      <c r="M320">
        <v>726776.22</v>
      </c>
      <c r="N320">
        <v>90804.49</v>
      </c>
      <c r="O320">
        <f t="shared" si="24"/>
        <v>0</v>
      </c>
      <c r="P320">
        <f t="shared" si="25"/>
        <v>0</v>
      </c>
      <c r="Q320">
        <f t="shared" si="26"/>
        <v>0</v>
      </c>
      <c r="R320">
        <f t="shared" si="27"/>
        <v>0</v>
      </c>
      <c r="S320">
        <f t="shared" si="28"/>
        <v>0</v>
      </c>
      <c r="T320">
        <f t="shared" si="29"/>
        <v>1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>
        <v>0</v>
      </c>
      <c r="L321" s="4">
        <v>4.0999999999999996</v>
      </c>
      <c r="M321">
        <v>559660.84</v>
      </c>
      <c r="N321">
        <v>71443.61</v>
      </c>
      <c r="O321">
        <f t="shared" si="24"/>
        <v>0</v>
      </c>
      <c r="P321">
        <f t="shared" si="25"/>
        <v>0</v>
      </c>
      <c r="Q321">
        <f t="shared" si="26"/>
        <v>0</v>
      </c>
      <c r="R321">
        <f t="shared" si="27"/>
        <v>0</v>
      </c>
      <c r="S321">
        <f t="shared" si="28"/>
        <v>0</v>
      </c>
      <c r="T321">
        <f t="shared" si="29"/>
        <v>1</v>
      </c>
    </row>
  </sheetData>
  <autoFilter ref="A1:Q1" xr:uid="{18C1CF4C-6A27-4BF4-AE00-99F6607CF1D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66B9-8EFE-4C5A-BEA8-F6271D118B0B}">
  <dimension ref="A1:T321"/>
  <sheetViews>
    <sheetView workbookViewId="0">
      <selection activeCell="Q4" sqref="Q4"/>
    </sheetView>
  </sheetViews>
  <sheetFormatPr defaultRowHeight="15"/>
  <sheetData>
    <row r="1" spans="1:20" ht="60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>
        <v>1</v>
      </c>
      <c r="L2" s="4">
        <v>3.1</v>
      </c>
      <c r="M2">
        <v>658832.62</v>
      </c>
      <c r="N2">
        <v>84349.93</v>
      </c>
      <c r="O2">
        <f>IF(C2="North",1,0)</f>
        <v>0</v>
      </c>
      <c r="P2">
        <f>IF(C2="South",1,0)</f>
        <v>0</v>
      </c>
      <c r="Q2">
        <f>IF(C2="West",1,0)</f>
        <v>0</v>
      </c>
      <c r="R2">
        <f>IF(D2="Airport",1,0)</f>
        <v>0</v>
      </c>
      <c r="S2">
        <f>IF(D2="Mall",1,0)</f>
        <v>0</v>
      </c>
      <c r="T2">
        <f>IF(D2="Residential",1,0)</f>
        <v>1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>
        <v>0</v>
      </c>
      <c r="L3" s="4">
        <v>2.8</v>
      </c>
      <c r="M3">
        <v>634436</v>
      </c>
      <c r="N3">
        <v>106130.54</v>
      </c>
      <c r="O3">
        <f t="shared" ref="O3:O66" si="0">IF(C3="North",1,0)</f>
        <v>0</v>
      </c>
      <c r="P3">
        <f t="shared" ref="P3:P66" si="1">IF(C3="South",1,0)</f>
        <v>0</v>
      </c>
      <c r="Q3">
        <f t="shared" ref="Q3:Q66" si="2">IF(C3="West",1,0)</f>
        <v>0</v>
      </c>
      <c r="R3">
        <f t="shared" ref="R3:R66" si="3">IF(D3="Airport",1,0)</f>
        <v>0</v>
      </c>
      <c r="S3">
        <f t="shared" ref="S3:S66" si="4">IF(D3="Mall",1,0)</f>
        <v>0</v>
      </c>
      <c r="T3">
        <f t="shared" ref="T3:T66" si="5">IF(D3="Residential",1,0)</f>
        <v>1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>
        <v>0</v>
      </c>
      <c r="L4" s="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5"/>
        <v>1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>
        <v>0</v>
      </c>
      <c r="L5" s="4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1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>
        <v>1</v>
      </c>
      <c r="L6" s="4">
        <v>4.2</v>
      </c>
      <c r="M6">
        <v>741341.44</v>
      </c>
      <c r="N6">
        <v>119208.17</v>
      </c>
      <c r="O6">
        <f t="shared" si="0"/>
        <v>0</v>
      </c>
      <c r="P6">
        <f t="shared" si="1"/>
        <v>0</v>
      </c>
      <c r="Q6">
        <f t="shared" si="2"/>
        <v>0</v>
      </c>
      <c r="R6">
        <f t="shared" si="3"/>
        <v>0</v>
      </c>
      <c r="S6">
        <f t="shared" si="4"/>
        <v>0</v>
      </c>
      <c r="T6">
        <f t="shared" si="5"/>
        <v>0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>
        <v>0</v>
      </c>
      <c r="L7" s="4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0</v>
      </c>
      <c r="Q7">
        <f t="shared" si="2"/>
        <v>0</v>
      </c>
      <c r="R7">
        <f t="shared" si="3"/>
        <v>0</v>
      </c>
      <c r="S7">
        <f t="shared" si="4"/>
        <v>0</v>
      </c>
      <c r="T7">
        <f t="shared" si="5"/>
        <v>0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>
        <v>1</v>
      </c>
      <c r="L8" s="4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0</v>
      </c>
      <c r="Q8">
        <f t="shared" si="2"/>
        <v>0</v>
      </c>
      <c r="R8">
        <f t="shared" si="3"/>
        <v>0</v>
      </c>
      <c r="S8">
        <f t="shared" si="4"/>
        <v>0</v>
      </c>
      <c r="T8">
        <f t="shared" si="5"/>
        <v>0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>
        <v>0</v>
      </c>
      <c r="L9" s="4">
        <v>3.9</v>
      </c>
      <c r="M9">
        <v>850164.26</v>
      </c>
      <c r="N9">
        <v>149262.75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0</v>
      </c>
      <c r="S9">
        <f t="shared" si="4"/>
        <v>0</v>
      </c>
      <c r="T9">
        <f t="shared" si="5"/>
        <v>0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>
        <v>1</v>
      </c>
      <c r="L10" s="4">
        <v>3.8</v>
      </c>
      <c r="M10">
        <v>930581.7</v>
      </c>
      <c r="N10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  <c r="R10">
        <f t="shared" si="3"/>
        <v>1</v>
      </c>
      <c r="S10">
        <f t="shared" si="4"/>
        <v>0</v>
      </c>
      <c r="T10">
        <f t="shared" si="5"/>
        <v>0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>
        <v>0</v>
      </c>
      <c r="L11" s="4">
        <v>4.2</v>
      </c>
      <c r="M11">
        <v>779010.94</v>
      </c>
      <c r="N11">
        <v>106328.09</v>
      </c>
      <c r="O11">
        <f t="shared" si="0"/>
        <v>1</v>
      </c>
      <c r="P11">
        <f t="shared" si="1"/>
        <v>0</v>
      </c>
      <c r="Q11">
        <f t="shared" si="2"/>
        <v>0</v>
      </c>
      <c r="R11">
        <f t="shared" si="3"/>
        <v>1</v>
      </c>
      <c r="S11">
        <f t="shared" si="4"/>
        <v>0</v>
      </c>
      <c r="T11">
        <f t="shared" si="5"/>
        <v>0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>
        <v>1</v>
      </c>
      <c r="L12" s="4">
        <v>3.8</v>
      </c>
      <c r="M12">
        <v>723060.76</v>
      </c>
      <c r="N12">
        <v>123131.24</v>
      </c>
      <c r="O12">
        <f t="shared" si="0"/>
        <v>1</v>
      </c>
      <c r="P12">
        <f t="shared" si="1"/>
        <v>0</v>
      </c>
      <c r="Q12">
        <f t="shared" si="2"/>
        <v>0</v>
      </c>
      <c r="R12">
        <f t="shared" si="3"/>
        <v>1</v>
      </c>
      <c r="S12">
        <f t="shared" si="4"/>
        <v>0</v>
      </c>
      <c r="T12">
        <f t="shared" si="5"/>
        <v>0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>
        <v>0</v>
      </c>
      <c r="L13" s="4">
        <v>3.8</v>
      </c>
      <c r="M13">
        <v>910791.94</v>
      </c>
      <c r="N13">
        <v>158891.28</v>
      </c>
      <c r="O13">
        <f t="shared" si="0"/>
        <v>1</v>
      </c>
      <c r="P13">
        <f t="shared" si="1"/>
        <v>0</v>
      </c>
      <c r="Q13">
        <f t="shared" si="2"/>
        <v>0</v>
      </c>
      <c r="R13">
        <f t="shared" si="3"/>
        <v>1</v>
      </c>
      <c r="S13">
        <f t="shared" si="4"/>
        <v>0</v>
      </c>
      <c r="T13">
        <f t="shared" si="5"/>
        <v>0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>
        <v>1</v>
      </c>
      <c r="L14" s="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1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>
        <v>0</v>
      </c>
      <c r="L15" s="4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0</v>
      </c>
      <c r="S15">
        <f t="shared" si="4"/>
        <v>0</v>
      </c>
      <c r="T15">
        <f t="shared" si="5"/>
        <v>1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>
        <v>0</v>
      </c>
      <c r="L16" s="4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0</v>
      </c>
      <c r="R16">
        <f t="shared" si="3"/>
        <v>0</v>
      </c>
      <c r="S16">
        <f t="shared" si="4"/>
        <v>0</v>
      </c>
      <c r="T16">
        <f t="shared" si="5"/>
        <v>1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>
        <v>0</v>
      </c>
      <c r="L17" s="4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0</v>
      </c>
      <c r="T17">
        <f t="shared" si="5"/>
        <v>1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>
        <v>0</v>
      </c>
      <c r="L18" s="4">
        <v>3.7</v>
      </c>
      <c r="M18">
        <v>666152.52</v>
      </c>
      <c r="N18">
        <v>107490.58</v>
      </c>
      <c r="O18">
        <f t="shared" si="0"/>
        <v>0</v>
      </c>
      <c r="P18">
        <f t="shared" si="1"/>
        <v>1</v>
      </c>
      <c r="Q18">
        <f t="shared" si="2"/>
        <v>0</v>
      </c>
      <c r="R18">
        <f t="shared" si="3"/>
        <v>0</v>
      </c>
      <c r="S18">
        <f t="shared" si="4"/>
        <v>0</v>
      </c>
      <c r="T18">
        <f t="shared" si="5"/>
        <v>1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>
        <v>0</v>
      </c>
      <c r="L19" s="4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1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1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>
        <v>0</v>
      </c>
      <c r="L20" s="4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  <c r="R20">
        <f t="shared" si="3"/>
        <v>0</v>
      </c>
      <c r="S20">
        <f t="shared" si="4"/>
        <v>0</v>
      </c>
      <c r="T20">
        <f t="shared" si="5"/>
        <v>1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>
        <v>0</v>
      </c>
      <c r="L21" s="4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1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1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>
        <v>0</v>
      </c>
      <c r="L22" s="4">
        <v>5</v>
      </c>
      <c r="M22">
        <v>415721.82</v>
      </c>
      <c r="N22">
        <v>61179.15</v>
      </c>
      <c r="O22">
        <f t="shared" si="0"/>
        <v>1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0</v>
      </c>
      <c r="T22">
        <f t="shared" si="5"/>
        <v>1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>
        <v>0</v>
      </c>
      <c r="L23" s="4">
        <v>5</v>
      </c>
      <c r="M23">
        <v>491905.13</v>
      </c>
      <c r="N23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1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>
        <v>1</v>
      </c>
      <c r="L24" s="4">
        <v>4.5999999999999996</v>
      </c>
      <c r="M24">
        <v>555929.4</v>
      </c>
      <c r="N24">
        <v>115201.76</v>
      </c>
      <c r="O24">
        <f t="shared" si="0"/>
        <v>1</v>
      </c>
      <c r="P24">
        <f t="shared" si="1"/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1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>
        <v>0</v>
      </c>
      <c r="L25" s="4">
        <v>4.7</v>
      </c>
      <c r="M25">
        <v>565810.99</v>
      </c>
      <c r="N25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1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>
        <v>0</v>
      </c>
      <c r="L26" s="4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1</v>
      </c>
      <c r="R26">
        <f t="shared" si="3"/>
        <v>0</v>
      </c>
      <c r="S26">
        <f t="shared" si="4"/>
        <v>1</v>
      </c>
      <c r="T26">
        <f t="shared" si="5"/>
        <v>0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>
        <v>0</v>
      </c>
      <c r="L27" s="4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1</v>
      </c>
      <c r="R27">
        <f t="shared" si="3"/>
        <v>0</v>
      </c>
      <c r="S27">
        <f t="shared" si="4"/>
        <v>1</v>
      </c>
      <c r="T27">
        <f t="shared" si="5"/>
        <v>0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>
        <v>0</v>
      </c>
      <c r="L28" s="4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1</v>
      </c>
      <c r="R28">
        <f t="shared" si="3"/>
        <v>0</v>
      </c>
      <c r="S28">
        <f t="shared" si="4"/>
        <v>1</v>
      </c>
      <c r="T28">
        <f t="shared" si="5"/>
        <v>0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>
        <v>0</v>
      </c>
      <c r="L29" s="4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1</v>
      </c>
      <c r="R29">
        <f t="shared" si="3"/>
        <v>0</v>
      </c>
      <c r="S29">
        <f t="shared" si="4"/>
        <v>1</v>
      </c>
      <c r="T29">
        <f t="shared" si="5"/>
        <v>0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>
        <v>0</v>
      </c>
      <c r="L30" s="4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0</v>
      </c>
      <c r="T30">
        <f t="shared" si="5"/>
        <v>1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>
        <v>0</v>
      </c>
      <c r="L31" s="4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0</v>
      </c>
      <c r="R31">
        <f t="shared" si="3"/>
        <v>0</v>
      </c>
      <c r="S31">
        <f t="shared" si="4"/>
        <v>0</v>
      </c>
      <c r="T31">
        <f t="shared" si="5"/>
        <v>1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>
        <v>1</v>
      </c>
      <c r="L32" s="4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1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>
        <v>0</v>
      </c>
      <c r="L33" s="4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1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>
        <v>0</v>
      </c>
      <c r="L34" s="4">
        <v>4.2</v>
      </c>
      <c r="M34">
        <v>641865.03</v>
      </c>
      <c r="N34">
        <v>81342.58</v>
      </c>
      <c r="O34">
        <f t="shared" si="0"/>
        <v>1</v>
      </c>
      <c r="P34">
        <f t="shared" si="1"/>
        <v>0</v>
      </c>
      <c r="Q34">
        <f t="shared" si="2"/>
        <v>0</v>
      </c>
      <c r="R34">
        <f t="shared" si="3"/>
        <v>0</v>
      </c>
      <c r="S34">
        <f t="shared" si="4"/>
        <v>0</v>
      </c>
      <c r="T34">
        <f t="shared" si="5"/>
        <v>1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>
        <v>0</v>
      </c>
      <c r="L35" s="4"/>
      <c r="M35">
        <v>799477.76000000001</v>
      </c>
      <c r="N35">
        <v>164974.41</v>
      </c>
      <c r="O35">
        <f t="shared" si="0"/>
        <v>1</v>
      </c>
      <c r="P35">
        <f t="shared" si="1"/>
        <v>0</v>
      </c>
      <c r="Q35">
        <f t="shared" si="2"/>
        <v>0</v>
      </c>
      <c r="R35">
        <f t="shared" si="3"/>
        <v>0</v>
      </c>
      <c r="S35">
        <f t="shared" si="4"/>
        <v>0</v>
      </c>
      <c r="T35">
        <f t="shared" si="5"/>
        <v>1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>
        <v>0</v>
      </c>
      <c r="L36" s="4">
        <v>3.5</v>
      </c>
      <c r="M36">
        <v>798952.17</v>
      </c>
      <c r="N36">
        <v>161499.04</v>
      </c>
      <c r="O36">
        <f t="shared" si="0"/>
        <v>1</v>
      </c>
      <c r="P36">
        <f t="shared" si="1"/>
        <v>0</v>
      </c>
      <c r="Q36">
        <f t="shared" si="2"/>
        <v>0</v>
      </c>
      <c r="R36">
        <f t="shared" si="3"/>
        <v>0</v>
      </c>
      <c r="S36">
        <f t="shared" si="4"/>
        <v>0</v>
      </c>
      <c r="T36">
        <f t="shared" si="5"/>
        <v>1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>
        <v>0</v>
      </c>
      <c r="L37" s="4">
        <v>3.6</v>
      </c>
      <c r="M37">
        <v>800979.78</v>
      </c>
      <c r="N37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  <c r="R37">
        <f t="shared" si="3"/>
        <v>0</v>
      </c>
      <c r="S37">
        <f t="shared" si="4"/>
        <v>0</v>
      </c>
      <c r="T37">
        <f t="shared" si="5"/>
        <v>1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>
        <v>1</v>
      </c>
      <c r="L38" s="4">
        <v>4.2</v>
      </c>
      <c r="M38">
        <v>820593.93</v>
      </c>
      <c r="N38">
        <v>115860.06</v>
      </c>
      <c r="O38">
        <f t="shared" si="0"/>
        <v>1</v>
      </c>
      <c r="P38">
        <f t="shared" si="1"/>
        <v>0</v>
      </c>
      <c r="Q38">
        <f t="shared" si="2"/>
        <v>0</v>
      </c>
      <c r="R38">
        <f t="shared" si="3"/>
        <v>0</v>
      </c>
      <c r="S38">
        <f t="shared" si="4"/>
        <v>1</v>
      </c>
      <c r="T38">
        <f t="shared" si="5"/>
        <v>0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>
        <v>0</v>
      </c>
      <c r="L39" s="4">
        <v>3.8</v>
      </c>
      <c r="M39">
        <v>718330.53</v>
      </c>
      <c r="N39">
        <v>93247.9</v>
      </c>
      <c r="O39">
        <f t="shared" si="0"/>
        <v>1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1</v>
      </c>
      <c r="T39">
        <f t="shared" si="5"/>
        <v>0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>
        <v>0</v>
      </c>
      <c r="L40" s="4">
        <v>4</v>
      </c>
      <c r="M40">
        <v>736633.4</v>
      </c>
      <c r="N40">
        <v>115654.66</v>
      </c>
      <c r="O40">
        <f t="shared" si="0"/>
        <v>1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1</v>
      </c>
      <c r="T40">
        <f t="shared" si="5"/>
        <v>0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>
        <v>0</v>
      </c>
      <c r="L41" s="4">
        <v>3.8</v>
      </c>
      <c r="M41">
        <v>828623.85</v>
      </c>
      <c r="N41">
        <v>167320.51999999999</v>
      </c>
      <c r="O41">
        <f t="shared" si="0"/>
        <v>1</v>
      </c>
      <c r="P41">
        <f t="shared" si="1"/>
        <v>0</v>
      </c>
      <c r="Q41">
        <f t="shared" si="2"/>
        <v>0</v>
      </c>
      <c r="R41">
        <f t="shared" si="3"/>
        <v>0</v>
      </c>
      <c r="S41">
        <f t="shared" si="4"/>
        <v>1</v>
      </c>
      <c r="T41">
        <f t="shared" si="5"/>
        <v>0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>
        <v>0</v>
      </c>
      <c r="L42" s="4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1</v>
      </c>
      <c r="T42">
        <f t="shared" si="5"/>
        <v>0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>
        <v>0</v>
      </c>
      <c r="L43" s="4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1</v>
      </c>
      <c r="T43">
        <f t="shared" si="5"/>
        <v>0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>
        <v>1</v>
      </c>
      <c r="L44" s="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1</v>
      </c>
      <c r="T44">
        <f t="shared" si="5"/>
        <v>0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>
        <v>0</v>
      </c>
      <c r="L45" s="4">
        <v>4.2</v>
      </c>
      <c r="M45">
        <v>605178</v>
      </c>
      <c r="N45">
        <v>106958.74</v>
      </c>
      <c r="O45">
        <f t="shared" si="0"/>
        <v>0</v>
      </c>
      <c r="P45">
        <f t="shared" si="1"/>
        <v>0</v>
      </c>
      <c r="Q45">
        <f t="shared" si="2"/>
        <v>0</v>
      </c>
      <c r="R45">
        <f t="shared" si="3"/>
        <v>0</v>
      </c>
      <c r="S45">
        <f t="shared" si="4"/>
        <v>1</v>
      </c>
      <c r="T45">
        <f t="shared" si="5"/>
        <v>0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>
        <v>0</v>
      </c>
      <c r="L46" s="4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1</v>
      </c>
      <c r="R46">
        <f t="shared" si="3"/>
        <v>0</v>
      </c>
      <c r="S46">
        <f t="shared" si="4"/>
        <v>0</v>
      </c>
      <c r="T46">
        <f t="shared" si="5"/>
        <v>1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>
        <v>0</v>
      </c>
      <c r="L47" s="4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1</v>
      </c>
      <c r="R47">
        <f t="shared" si="3"/>
        <v>0</v>
      </c>
      <c r="S47">
        <f t="shared" si="4"/>
        <v>0</v>
      </c>
      <c r="T47">
        <f t="shared" si="5"/>
        <v>1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>
        <v>1</v>
      </c>
      <c r="L48" s="4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1</v>
      </c>
      <c r="R48">
        <f t="shared" si="3"/>
        <v>0</v>
      </c>
      <c r="S48">
        <f t="shared" si="4"/>
        <v>0</v>
      </c>
      <c r="T48">
        <f t="shared" si="5"/>
        <v>1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>
        <v>0</v>
      </c>
      <c r="L49" s="4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1</v>
      </c>
      <c r="R49">
        <f t="shared" si="3"/>
        <v>0</v>
      </c>
      <c r="S49">
        <f t="shared" si="4"/>
        <v>0</v>
      </c>
      <c r="T49">
        <f t="shared" si="5"/>
        <v>1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>
        <v>1</v>
      </c>
      <c r="L50" s="4">
        <v>4.7</v>
      </c>
      <c r="M50">
        <v>622811.74</v>
      </c>
      <c r="N50">
        <v>109978.35</v>
      </c>
      <c r="O50">
        <f t="shared" si="0"/>
        <v>1</v>
      </c>
      <c r="P50">
        <f t="shared" si="1"/>
        <v>0</v>
      </c>
      <c r="Q50">
        <f t="shared" si="2"/>
        <v>0</v>
      </c>
      <c r="R50">
        <f t="shared" si="3"/>
        <v>0</v>
      </c>
      <c r="S50">
        <f t="shared" si="4"/>
        <v>1</v>
      </c>
      <c r="T50">
        <f t="shared" si="5"/>
        <v>0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>
        <v>0</v>
      </c>
      <c r="L51" s="4">
        <v>4.5999999999999996</v>
      </c>
      <c r="M51">
        <v>603297.56999999995</v>
      </c>
      <c r="N51">
        <v>60592.26</v>
      </c>
      <c r="O51">
        <f t="shared" si="0"/>
        <v>1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4"/>
        <v>1</v>
      </c>
      <c r="T51">
        <f t="shared" si="5"/>
        <v>0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>
        <v>0</v>
      </c>
      <c r="L52" s="4">
        <v>4.5</v>
      </c>
      <c r="M52">
        <v>625672.86</v>
      </c>
      <c r="N52">
        <v>118020.12</v>
      </c>
      <c r="O52">
        <f t="shared" si="0"/>
        <v>1</v>
      </c>
      <c r="P52">
        <f t="shared" si="1"/>
        <v>0</v>
      </c>
      <c r="Q52">
        <f t="shared" si="2"/>
        <v>0</v>
      </c>
      <c r="R52">
        <f t="shared" si="3"/>
        <v>0</v>
      </c>
      <c r="S52">
        <f t="shared" si="4"/>
        <v>1</v>
      </c>
      <c r="T52">
        <f t="shared" si="5"/>
        <v>0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>
        <v>0</v>
      </c>
      <c r="L53" s="4">
        <v>4.5999999999999996</v>
      </c>
      <c r="M53">
        <v>773815.14</v>
      </c>
      <c r="N53">
        <v>133948.39000000001</v>
      </c>
      <c r="O53">
        <f t="shared" si="0"/>
        <v>1</v>
      </c>
      <c r="P53">
        <f t="shared" si="1"/>
        <v>0</v>
      </c>
      <c r="Q53">
        <f t="shared" si="2"/>
        <v>0</v>
      </c>
      <c r="R53">
        <f t="shared" si="3"/>
        <v>0</v>
      </c>
      <c r="S53">
        <f t="shared" si="4"/>
        <v>1</v>
      </c>
      <c r="T53">
        <f t="shared" si="5"/>
        <v>0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>
        <v>0</v>
      </c>
      <c r="L54" s="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1</v>
      </c>
      <c r="R54">
        <f t="shared" si="3"/>
        <v>0</v>
      </c>
      <c r="S54">
        <f t="shared" si="4"/>
        <v>0</v>
      </c>
      <c r="T54">
        <f t="shared" si="5"/>
        <v>0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>
        <v>0</v>
      </c>
      <c r="L55" s="4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1</v>
      </c>
      <c r="R55">
        <f t="shared" si="3"/>
        <v>0</v>
      </c>
      <c r="S55">
        <f t="shared" si="4"/>
        <v>0</v>
      </c>
      <c r="T55">
        <f t="shared" si="5"/>
        <v>0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>
        <v>0</v>
      </c>
      <c r="L56" s="4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1</v>
      </c>
      <c r="R56">
        <f t="shared" si="3"/>
        <v>0</v>
      </c>
      <c r="S56">
        <f t="shared" si="4"/>
        <v>0</v>
      </c>
      <c r="T56">
        <f t="shared" si="5"/>
        <v>0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>
        <v>0</v>
      </c>
      <c r="L57" s="4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1</v>
      </c>
      <c r="R57">
        <f t="shared" si="3"/>
        <v>0</v>
      </c>
      <c r="S57">
        <f t="shared" si="4"/>
        <v>0</v>
      </c>
      <c r="T57">
        <f t="shared" si="5"/>
        <v>0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>
        <v>0</v>
      </c>
      <c r="L58" s="4">
        <v>3.5</v>
      </c>
      <c r="M58">
        <v>518049.26</v>
      </c>
      <c r="N58">
        <v>108592.49</v>
      </c>
      <c r="O58">
        <f t="shared" si="0"/>
        <v>0</v>
      </c>
      <c r="P58">
        <f t="shared" si="1"/>
        <v>0</v>
      </c>
      <c r="Q58">
        <f t="shared" si="2"/>
        <v>0</v>
      </c>
      <c r="R58">
        <f t="shared" si="3"/>
        <v>1</v>
      </c>
      <c r="S58">
        <f t="shared" si="4"/>
        <v>0</v>
      </c>
      <c r="T58">
        <f t="shared" si="5"/>
        <v>0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>
        <v>0</v>
      </c>
      <c r="L59" s="4">
        <v>3.7</v>
      </c>
      <c r="M59">
        <v>500298.48</v>
      </c>
      <c r="N59">
        <v>73461.320000000007</v>
      </c>
      <c r="O59">
        <f t="shared" si="0"/>
        <v>0</v>
      </c>
      <c r="P59">
        <f t="shared" si="1"/>
        <v>0</v>
      </c>
      <c r="Q59">
        <f t="shared" si="2"/>
        <v>0</v>
      </c>
      <c r="R59">
        <f t="shared" si="3"/>
        <v>1</v>
      </c>
      <c r="S59">
        <f t="shared" si="4"/>
        <v>0</v>
      </c>
      <c r="T59">
        <f t="shared" si="5"/>
        <v>0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>
        <v>0</v>
      </c>
      <c r="L60" s="4">
        <v>3.1</v>
      </c>
      <c r="M60">
        <v>617291.15</v>
      </c>
      <c r="N60">
        <v>117782</v>
      </c>
      <c r="O60">
        <f t="shared" si="0"/>
        <v>0</v>
      </c>
      <c r="P60">
        <f t="shared" si="1"/>
        <v>0</v>
      </c>
      <c r="Q60">
        <f t="shared" si="2"/>
        <v>0</v>
      </c>
      <c r="R60">
        <f t="shared" si="3"/>
        <v>1</v>
      </c>
      <c r="S60">
        <f t="shared" si="4"/>
        <v>0</v>
      </c>
      <c r="T60">
        <f t="shared" si="5"/>
        <v>0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>
        <v>0</v>
      </c>
      <c r="L61" s="4">
        <v>3.1</v>
      </c>
      <c r="M61">
        <v>553756.43000000005</v>
      </c>
      <c r="N61">
        <v>86166.77</v>
      </c>
      <c r="O61">
        <f t="shared" si="0"/>
        <v>0</v>
      </c>
      <c r="P61">
        <f t="shared" si="1"/>
        <v>0</v>
      </c>
      <c r="Q61">
        <f t="shared" si="2"/>
        <v>0</v>
      </c>
      <c r="R61">
        <f t="shared" si="3"/>
        <v>1</v>
      </c>
      <c r="S61">
        <f t="shared" si="4"/>
        <v>0</v>
      </c>
      <c r="T61">
        <f t="shared" si="5"/>
        <v>0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>
        <v>0</v>
      </c>
      <c r="L62" s="4">
        <v>3.7</v>
      </c>
      <c r="M62">
        <v>749559.71</v>
      </c>
      <c r="N62">
        <v>144522.53</v>
      </c>
      <c r="O62">
        <f t="shared" si="0"/>
        <v>0</v>
      </c>
      <c r="P62">
        <f t="shared" si="1"/>
        <v>1</v>
      </c>
      <c r="Q62">
        <f t="shared" si="2"/>
        <v>0</v>
      </c>
      <c r="R62">
        <f t="shared" si="3"/>
        <v>0</v>
      </c>
      <c r="S62">
        <f t="shared" si="4"/>
        <v>0</v>
      </c>
      <c r="T62">
        <f t="shared" si="5"/>
        <v>0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>
        <v>0</v>
      </c>
      <c r="L63" s="4">
        <v>3.8</v>
      </c>
      <c r="M63">
        <v>615966.48</v>
      </c>
      <c r="N63">
        <v>91509.38</v>
      </c>
      <c r="O63">
        <f t="shared" si="0"/>
        <v>0</v>
      </c>
      <c r="P63">
        <f t="shared" si="1"/>
        <v>1</v>
      </c>
      <c r="Q63">
        <f t="shared" si="2"/>
        <v>0</v>
      </c>
      <c r="R63">
        <f t="shared" si="3"/>
        <v>0</v>
      </c>
      <c r="S63">
        <f t="shared" si="4"/>
        <v>0</v>
      </c>
      <c r="T63">
        <f t="shared" si="5"/>
        <v>0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>
        <v>0</v>
      </c>
      <c r="L64" s="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1</v>
      </c>
      <c r="Q64">
        <f t="shared" si="2"/>
        <v>0</v>
      </c>
      <c r="R64">
        <f t="shared" si="3"/>
        <v>0</v>
      </c>
      <c r="S64">
        <f t="shared" si="4"/>
        <v>0</v>
      </c>
      <c r="T64">
        <f t="shared" si="5"/>
        <v>0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>
        <v>0</v>
      </c>
      <c r="L65" s="4">
        <v>3.5</v>
      </c>
      <c r="M65">
        <v>761860.19</v>
      </c>
      <c r="N65">
        <v>133279.38</v>
      </c>
      <c r="O65">
        <f t="shared" si="0"/>
        <v>0</v>
      </c>
      <c r="P65">
        <f t="shared" si="1"/>
        <v>1</v>
      </c>
      <c r="Q65">
        <f t="shared" si="2"/>
        <v>0</v>
      </c>
      <c r="R65">
        <f t="shared" si="3"/>
        <v>0</v>
      </c>
      <c r="S65">
        <f t="shared" si="4"/>
        <v>0</v>
      </c>
      <c r="T65">
        <f t="shared" si="5"/>
        <v>0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>
        <v>1</v>
      </c>
      <c r="L66" s="4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1</v>
      </c>
      <c r="R66">
        <f t="shared" si="3"/>
        <v>0</v>
      </c>
      <c r="S66">
        <f t="shared" si="4"/>
        <v>0</v>
      </c>
      <c r="T66">
        <f t="shared" si="5"/>
        <v>0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>
        <v>0</v>
      </c>
      <c r="L67" s="4">
        <v>3.6</v>
      </c>
      <c r="M67">
        <v>717141.55</v>
      </c>
      <c r="N67">
        <v>134013.60999999999</v>
      </c>
      <c r="O67">
        <f t="shared" ref="O67:O130" si="6">IF(C67="North",1,0)</f>
        <v>0</v>
      </c>
      <c r="P67">
        <f t="shared" ref="P67:P130" si="7">IF(C67="South",1,0)</f>
        <v>0</v>
      </c>
      <c r="Q67">
        <f t="shared" ref="Q67:Q130" si="8">IF(C67="West",1,0)</f>
        <v>1</v>
      </c>
      <c r="R67">
        <f t="shared" ref="R67:R130" si="9">IF(D67="Airport",1,0)</f>
        <v>0</v>
      </c>
      <c r="S67">
        <f t="shared" ref="S67:S130" si="10">IF(D67="Mall",1,0)</f>
        <v>0</v>
      </c>
      <c r="T67">
        <f t="shared" ref="T67:T130" si="11">IF(D67="Residential",1,0)</f>
        <v>0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>
        <v>1</v>
      </c>
      <c r="L68" s="4">
        <v>3.2</v>
      </c>
      <c r="M68">
        <v>685379.08</v>
      </c>
      <c r="N68">
        <v>106898.82</v>
      </c>
      <c r="O68">
        <f t="shared" si="6"/>
        <v>0</v>
      </c>
      <c r="P68">
        <f t="shared" si="7"/>
        <v>0</v>
      </c>
      <c r="Q68">
        <f t="shared" si="8"/>
        <v>1</v>
      </c>
      <c r="R68">
        <f t="shared" si="9"/>
        <v>0</v>
      </c>
      <c r="S68">
        <f t="shared" si="10"/>
        <v>0</v>
      </c>
      <c r="T68">
        <f t="shared" si="11"/>
        <v>0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>
        <v>0</v>
      </c>
      <c r="L69" s="4">
        <v>3.4</v>
      </c>
      <c r="M69">
        <v>740496.65</v>
      </c>
      <c r="N69">
        <v>128020.9</v>
      </c>
      <c r="O69">
        <f t="shared" si="6"/>
        <v>0</v>
      </c>
      <c r="P69">
        <f t="shared" si="7"/>
        <v>0</v>
      </c>
      <c r="Q69">
        <f t="shared" si="8"/>
        <v>1</v>
      </c>
      <c r="R69">
        <f t="shared" si="9"/>
        <v>0</v>
      </c>
      <c r="S69">
        <f t="shared" si="10"/>
        <v>0</v>
      </c>
      <c r="T69">
        <f t="shared" si="11"/>
        <v>0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>
        <v>1</v>
      </c>
      <c r="L70" s="4">
        <v>3.3</v>
      </c>
      <c r="M70">
        <v>661927.14</v>
      </c>
      <c r="N70">
        <v>79218.570000000007</v>
      </c>
      <c r="O70">
        <f t="shared" si="6"/>
        <v>0</v>
      </c>
      <c r="P70">
        <f t="shared" si="7"/>
        <v>0</v>
      </c>
      <c r="Q70">
        <f t="shared" si="8"/>
        <v>0</v>
      </c>
      <c r="R70">
        <f t="shared" si="9"/>
        <v>0</v>
      </c>
      <c r="S70">
        <f t="shared" si="10"/>
        <v>0</v>
      </c>
      <c r="T70">
        <f t="shared" si="11"/>
        <v>0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>
        <v>0</v>
      </c>
      <c r="L71" s="4">
        <v>3.3</v>
      </c>
      <c r="M71">
        <v>479050.5</v>
      </c>
      <c r="N71">
        <v>53651.11</v>
      </c>
      <c r="O71">
        <f t="shared" si="6"/>
        <v>0</v>
      </c>
      <c r="P71">
        <f t="shared" si="7"/>
        <v>0</v>
      </c>
      <c r="Q71">
        <f t="shared" si="8"/>
        <v>0</v>
      </c>
      <c r="R71">
        <f t="shared" si="9"/>
        <v>0</v>
      </c>
      <c r="S71">
        <f t="shared" si="10"/>
        <v>0</v>
      </c>
      <c r="T71">
        <f t="shared" si="11"/>
        <v>0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>
        <v>0</v>
      </c>
      <c r="L72" s="4">
        <v>3.2</v>
      </c>
      <c r="M72">
        <v>605023.87</v>
      </c>
      <c r="N72">
        <v>98545.81</v>
      </c>
      <c r="O72">
        <f t="shared" si="6"/>
        <v>0</v>
      </c>
      <c r="P72">
        <f t="shared" si="7"/>
        <v>0</v>
      </c>
      <c r="Q72">
        <f t="shared" si="8"/>
        <v>0</v>
      </c>
      <c r="R72">
        <f t="shared" si="9"/>
        <v>0</v>
      </c>
      <c r="S72">
        <f t="shared" si="10"/>
        <v>0</v>
      </c>
      <c r="T72">
        <f t="shared" si="11"/>
        <v>0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J73" s="4"/>
      <c r="K73">
        <v>0</v>
      </c>
      <c r="L73" s="4">
        <v>3.5</v>
      </c>
      <c r="M73">
        <v>674774.09</v>
      </c>
      <c r="N73">
        <v>141917.59</v>
      </c>
      <c r="O73">
        <f t="shared" si="6"/>
        <v>0</v>
      </c>
      <c r="P73">
        <f t="shared" si="7"/>
        <v>0</v>
      </c>
      <c r="Q73">
        <f t="shared" si="8"/>
        <v>0</v>
      </c>
      <c r="R73">
        <f t="shared" si="9"/>
        <v>0</v>
      </c>
      <c r="S73">
        <f t="shared" si="10"/>
        <v>0</v>
      </c>
      <c r="T73">
        <f t="shared" si="11"/>
        <v>0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>
        <v>0</v>
      </c>
      <c r="L74" s="4">
        <v>4.5</v>
      </c>
      <c r="M74">
        <v>616069.41</v>
      </c>
      <c r="N74">
        <v>54453.99</v>
      </c>
      <c r="O74">
        <f t="shared" si="6"/>
        <v>0</v>
      </c>
      <c r="P74">
        <f t="shared" si="7"/>
        <v>0</v>
      </c>
      <c r="Q74">
        <f t="shared" si="8"/>
        <v>0</v>
      </c>
      <c r="R74">
        <f t="shared" si="9"/>
        <v>0</v>
      </c>
      <c r="S74">
        <f t="shared" si="10"/>
        <v>0</v>
      </c>
      <c r="T74">
        <f t="shared" si="11"/>
        <v>1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>
        <v>0</v>
      </c>
      <c r="L75" s="4">
        <v>4.4000000000000004</v>
      </c>
      <c r="M75">
        <v>630829.93999999994</v>
      </c>
      <c r="N75">
        <v>117090.02</v>
      </c>
      <c r="O75">
        <f t="shared" si="6"/>
        <v>0</v>
      </c>
      <c r="P75">
        <f t="shared" si="7"/>
        <v>0</v>
      </c>
      <c r="Q75">
        <f t="shared" si="8"/>
        <v>0</v>
      </c>
      <c r="R75">
        <f t="shared" si="9"/>
        <v>0</v>
      </c>
      <c r="S75">
        <f t="shared" si="10"/>
        <v>0</v>
      </c>
      <c r="T75">
        <f t="shared" si="11"/>
        <v>1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>
        <v>1</v>
      </c>
      <c r="L76" s="4">
        <v>4.3</v>
      </c>
      <c r="M76">
        <v>788087.68</v>
      </c>
      <c r="N76">
        <v>116803.42</v>
      </c>
      <c r="O76">
        <f t="shared" si="6"/>
        <v>0</v>
      </c>
      <c r="P76">
        <f t="shared" si="7"/>
        <v>0</v>
      </c>
      <c r="Q76">
        <f t="shared" si="8"/>
        <v>0</v>
      </c>
      <c r="R76">
        <f t="shared" si="9"/>
        <v>0</v>
      </c>
      <c r="S76">
        <f t="shared" si="10"/>
        <v>0</v>
      </c>
      <c r="T76">
        <f t="shared" si="11"/>
        <v>1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>
        <v>0</v>
      </c>
      <c r="L77" s="4">
        <v>4.5</v>
      </c>
      <c r="M77">
        <v>680840.36</v>
      </c>
      <c r="N77">
        <v>68007.679999999993</v>
      </c>
      <c r="O77">
        <f t="shared" si="6"/>
        <v>0</v>
      </c>
      <c r="P77">
        <f t="shared" si="7"/>
        <v>0</v>
      </c>
      <c r="Q77">
        <f t="shared" si="8"/>
        <v>0</v>
      </c>
      <c r="R77">
        <f t="shared" si="9"/>
        <v>0</v>
      </c>
      <c r="S77">
        <f t="shared" si="10"/>
        <v>0</v>
      </c>
      <c r="T77">
        <f t="shared" si="11"/>
        <v>1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>
        <v>1</v>
      </c>
      <c r="L78" s="4">
        <v>3.2</v>
      </c>
      <c r="M78">
        <v>643657.47</v>
      </c>
      <c r="N78">
        <v>87022.45</v>
      </c>
      <c r="O78">
        <f t="shared" si="6"/>
        <v>0</v>
      </c>
      <c r="P78">
        <f t="shared" si="7"/>
        <v>1</v>
      </c>
      <c r="Q78">
        <f t="shared" si="8"/>
        <v>0</v>
      </c>
      <c r="R78">
        <f t="shared" si="9"/>
        <v>0</v>
      </c>
      <c r="S78">
        <f t="shared" si="10"/>
        <v>0</v>
      </c>
      <c r="T78">
        <f t="shared" si="11"/>
        <v>0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>
        <v>0</v>
      </c>
      <c r="L79" s="4">
        <v>2.9</v>
      </c>
      <c r="M79">
        <v>691112.6</v>
      </c>
      <c r="N79">
        <v>109212.83</v>
      </c>
      <c r="O79">
        <f t="shared" si="6"/>
        <v>0</v>
      </c>
      <c r="P79">
        <f t="shared" si="7"/>
        <v>1</v>
      </c>
      <c r="Q79">
        <f t="shared" si="8"/>
        <v>0</v>
      </c>
      <c r="R79">
        <f t="shared" si="9"/>
        <v>0</v>
      </c>
      <c r="S79">
        <f t="shared" si="10"/>
        <v>0</v>
      </c>
      <c r="T79">
        <f t="shared" si="11"/>
        <v>0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>
        <v>0</v>
      </c>
      <c r="L80" s="4">
        <v>3.3</v>
      </c>
      <c r="M80">
        <v>776922.17</v>
      </c>
      <c r="N80">
        <v>150701.93</v>
      </c>
      <c r="O80">
        <f t="shared" si="6"/>
        <v>0</v>
      </c>
      <c r="P80">
        <f t="shared" si="7"/>
        <v>1</v>
      </c>
      <c r="Q80">
        <f t="shared" si="8"/>
        <v>0</v>
      </c>
      <c r="R80">
        <f t="shared" si="9"/>
        <v>0</v>
      </c>
      <c r="S80">
        <f t="shared" si="10"/>
        <v>0</v>
      </c>
      <c r="T80">
        <f t="shared" si="11"/>
        <v>0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>
        <v>0</v>
      </c>
      <c r="L81" s="4">
        <v>3.2</v>
      </c>
      <c r="M81">
        <v>636561.34</v>
      </c>
      <c r="N81">
        <v>93861.06</v>
      </c>
      <c r="O81">
        <f t="shared" si="6"/>
        <v>0</v>
      </c>
      <c r="P81">
        <f t="shared" si="7"/>
        <v>1</v>
      </c>
      <c r="Q81">
        <f t="shared" si="8"/>
        <v>0</v>
      </c>
      <c r="R81">
        <f t="shared" si="9"/>
        <v>0</v>
      </c>
      <c r="S81">
        <f t="shared" si="10"/>
        <v>0</v>
      </c>
      <c r="T81">
        <f t="shared" si="11"/>
        <v>0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>
        <v>0</v>
      </c>
      <c r="L82" s="4">
        <v>4.5999999999999996</v>
      </c>
      <c r="M82">
        <v>621369.57999999996</v>
      </c>
      <c r="N82">
        <v>85493.64</v>
      </c>
      <c r="O82">
        <f t="shared" si="6"/>
        <v>0</v>
      </c>
      <c r="P82">
        <f t="shared" si="7"/>
        <v>0</v>
      </c>
      <c r="Q82">
        <f t="shared" si="8"/>
        <v>1</v>
      </c>
      <c r="R82">
        <f t="shared" si="9"/>
        <v>0</v>
      </c>
      <c r="S82">
        <f t="shared" si="10"/>
        <v>1</v>
      </c>
      <c r="T82">
        <f t="shared" si="11"/>
        <v>0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>
        <v>0</v>
      </c>
      <c r="L83" s="4">
        <v>4.5999999999999996</v>
      </c>
      <c r="M83">
        <v>682208.01</v>
      </c>
      <c r="N83">
        <v>110318.84</v>
      </c>
      <c r="O83">
        <f t="shared" si="6"/>
        <v>0</v>
      </c>
      <c r="P83">
        <f t="shared" si="7"/>
        <v>0</v>
      </c>
      <c r="Q83">
        <f t="shared" si="8"/>
        <v>1</v>
      </c>
      <c r="R83">
        <f t="shared" si="9"/>
        <v>0</v>
      </c>
      <c r="S83">
        <f t="shared" si="10"/>
        <v>1</v>
      </c>
      <c r="T83">
        <f t="shared" si="11"/>
        <v>0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>
        <v>0</v>
      </c>
      <c r="L84" s="4">
        <v>4.5999999999999996</v>
      </c>
      <c r="M84">
        <v>727241.86</v>
      </c>
      <c r="N84">
        <v>155810.29999999999</v>
      </c>
      <c r="O84">
        <f t="shared" si="6"/>
        <v>0</v>
      </c>
      <c r="P84">
        <f t="shared" si="7"/>
        <v>0</v>
      </c>
      <c r="Q84">
        <f t="shared" si="8"/>
        <v>1</v>
      </c>
      <c r="R84">
        <f t="shared" si="9"/>
        <v>0</v>
      </c>
      <c r="S84">
        <f t="shared" si="10"/>
        <v>1</v>
      </c>
      <c r="T84">
        <f t="shared" si="11"/>
        <v>0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>
        <v>0</v>
      </c>
      <c r="L85" s="4">
        <v>4.2</v>
      </c>
      <c r="M85">
        <v>569100.78</v>
      </c>
      <c r="N85">
        <v>104808.78</v>
      </c>
      <c r="O85">
        <f t="shared" si="6"/>
        <v>0</v>
      </c>
      <c r="P85">
        <f t="shared" si="7"/>
        <v>0</v>
      </c>
      <c r="Q85">
        <f t="shared" si="8"/>
        <v>1</v>
      </c>
      <c r="R85">
        <f t="shared" si="9"/>
        <v>0</v>
      </c>
      <c r="S85">
        <f t="shared" si="10"/>
        <v>1</v>
      </c>
      <c r="T85">
        <f t="shared" si="11"/>
        <v>0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>
        <v>0</v>
      </c>
      <c r="L86" s="4">
        <v>4.9000000000000004</v>
      </c>
      <c r="M86">
        <v>574436.29</v>
      </c>
      <c r="N86">
        <v>80271.990000000005</v>
      </c>
      <c r="O86">
        <f t="shared" si="6"/>
        <v>0</v>
      </c>
      <c r="P86">
        <f t="shared" si="7"/>
        <v>0</v>
      </c>
      <c r="Q86">
        <f t="shared" si="8"/>
        <v>1</v>
      </c>
      <c r="R86">
        <f t="shared" si="9"/>
        <v>0</v>
      </c>
      <c r="S86">
        <f t="shared" si="10"/>
        <v>0</v>
      </c>
      <c r="T86">
        <f t="shared" si="11"/>
        <v>0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>
        <v>0</v>
      </c>
      <c r="L87" s="4"/>
      <c r="M87">
        <v>611766.72</v>
      </c>
      <c r="N87">
        <v>88275.61</v>
      </c>
      <c r="O87">
        <f t="shared" si="6"/>
        <v>0</v>
      </c>
      <c r="P87">
        <f t="shared" si="7"/>
        <v>0</v>
      </c>
      <c r="Q87">
        <f t="shared" si="8"/>
        <v>1</v>
      </c>
      <c r="R87">
        <f t="shared" si="9"/>
        <v>0</v>
      </c>
      <c r="S87">
        <f t="shared" si="10"/>
        <v>0</v>
      </c>
      <c r="T87">
        <f t="shared" si="11"/>
        <v>0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>
        <v>0</v>
      </c>
      <c r="L88" s="4">
        <v>4.3</v>
      </c>
      <c r="M88">
        <v>614596.31999999995</v>
      </c>
      <c r="N88">
        <v>131199.41</v>
      </c>
      <c r="O88">
        <f t="shared" si="6"/>
        <v>0</v>
      </c>
      <c r="P88">
        <f t="shared" si="7"/>
        <v>0</v>
      </c>
      <c r="Q88">
        <f t="shared" si="8"/>
        <v>1</v>
      </c>
      <c r="R88">
        <f t="shared" si="9"/>
        <v>0</v>
      </c>
      <c r="S88">
        <f t="shared" si="10"/>
        <v>0</v>
      </c>
      <c r="T88">
        <f t="shared" si="11"/>
        <v>0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>
        <v>0</v>
      </c>
      <c r="L89" s="4">
        <v>4.5999999999999996</v>
      </c>
      <c r="M89">
        <v>450711.92</v>
      </c>
      <c r="N89">
        <v>90043.76</v>
      </c>
      <c r="O89">
        <f t="shared" si="6"/>
        <v>0</v>
      </c>
      <c r="P89">
        <f t="shared" si="7"/>
        <v>0</v>
      </c>
      <c r="Q89">
        <f t="shared" si="8"/>
        <v>1</v>
      </c>
      <c r="R89">
        <f t="shared" si="9"/>
        <v>0</v>
      </c>
      <c r="S89">
        <f t="shared" si="10"/>
        <v>0</v>
      </c>
      <c r="T89">
        <f t="shared" si="11"/>
        <v>0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>
        <v>1</v>
      </c>
      <c r="L90" s="4">
        <v>4.0999999999999996</v>
      </c>
      <c r="M90">
        <v>711213.46</v>
      </c>
      <c r="N90">
        <v>105863.26</v>
      </c>
      <c r="O90">
        <f t="shared" si="6"/>
        <v>0</v>
      </c>
      <c r="P90">
        <f t="shared" si="7"/>
        <v>1</v>
      </c>
      <c r="Q90">
        <f t="shared" si="8"/>
        <v>0</v>
      </c>
      <c r="R90">
        <f t="shared" si="9"/>
        <v>0</v>
      </c>
      <c r="S90">
        <f t="shared" si="10"/>
        <v>1</v>
      </c>
      <c r="T90">
        <f t="shared" si="11"/>
        <v>0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>
        <v>0</v>
      </c>
      <c r="L91" s="4">
        <v>4.5</v>
      </c>
      <c r="M91">
        <v>627171.9</v>
      </c>
      <c r="N91">
        <v>105772.75</v>
      </c>
      <c r="O91">
        <f t="shared" si="6"/>
        <v>0</v>
      </c>
      <c r="P91">
        <f t="shared" si="7"/>
        <v>1</v>
      </c>
      <c r="Q91">
        <f t="shared" si="8"/>
        <v>0</v>
      </c>
      <c r="R91">
        <f t="shared" si="9"/>
        <v>0</v>
      </c>
      <c r="S91">
        <f t="shared" si="10"/>
        <v>1</v>
      </c>
      <c r="T91">
        <f t="shared" si="11"/>
        <v>0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>
        <v>0</v>
      </c>
      <c r="L92" s="4">
        <v>4.7</v>
      </c>
      <c r="M92">
        <v>739852.58</v>
      </c>
      <c r="N92">
        <v>129386.43</v>
      </c>
      <c r="O92">
        <f t="shared" si="6"/>
        <v>0</v>
      </c>
      <c r="P92">
        <f t="shared" si="7"/>
        <v>1</v>
      </c>
      <c r="Q92">
        <f t="shared" si="8"/>
        <v>0</v>
      </c>
      <c r="R92">
        <f t="shared" si="9"/>
        <v>0</v>
      </c>
      <c r="S92">
        <f t="shared" si="10"/>
        <v>1</v>
      </c>
      <c r="T92">
        <f t="shared" si="11"/>
        <v>0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>
        <v>0</v>
      </c>
      <c r="L93" s="4">
        <v>4.3</v>
      </c>
      <c r="M93">
        <v>586307.22</v>
      </c>
      <c r="N93">
        <v>73927.850000000006</v>
      </c>
      <c r="O93">
        <f t="shared" si="6"/>
        <v>0</v>
      </c>
      <c r="P93">
        <f t="shared" si="7"/>
        <v>1</v>
      </c>
      <c r="Q93">
        <f t="shared" si="8"/>
        <v>0</v>
      </c>
      <c r="R93">
        <f t="shared" si="9"/>
        <v>0</v>
      </c>
      <c r="S93">
        <f t="shared" si="10"/>
        <v>1</v>
      </c>
      <c r="T93">
        <f t="shared" si="11"/>
        <v>0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>
        <v>0</v>
      </c>
      <c r="L94" s="4">
        <v>4.5999999999999996</v>
      </c>
      <c r="M94">
        <v>585937.48</v>
      </c>
      <c r="N94">
        <v>82624.2</v>
      </c>
      <c r="O94">
        <f t="shared" si="6"/>
        <v>0</v>
      </c>
      <c r="P94">
        <f t="shared" si="7"/>
        <v>0</v>
      </c>
      <c r="Q94">
        <f t="shared" si="8"/>
        <v>1</v>
      </c>
      <c r="R94">
        <f t="shared" si="9"/>
        <v>0</v>
      </c>
      <c r="S94">
        <f t="shared" si="10"/>
        <v>0</v>
      </c>
      <c r="T94">
        <f t="shared" si="11"/>
        <v>1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>
        <v>0</v>
      </c>
      <c r="L95" s="4">
        <v>4.5</v>
      </c>
      <c r="M95">
        <v>753473.55</v>
      </c>
      <c r="N95">
        <v>151527.22</v>
      </c>
      <c r="O95">
        <f t="shared" si="6"/>
        <v>0</v>
      </c>
      <c r="P95">
        <f t="shared" si="7"/>
        <v>0</v>
      </c>
      <c r="Q95">
        <f t="shared" si="8"/>
        <v>1</v>
      </c>
      <c r="R95">
        <f t="shared" si="9"/>
        <v>0</v>
      </c>
      <c r="S95">
        <f t="shared" si="10"/>
        <v>0</v>
      </c>
      <c r="T95">
        <f t="shared" si="11"/>
        <v>1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>
        <v>0</v>
      </c>
      <c r="L96" s="4">
        <v>5</v>
      </c>
      <c r="M96">
        <v>838250.32</v>
      </c>
      <c r="N96">
        <v>122939.34</v>
      </c>
      <c r="O96">
        <f t="shared" si="6"/>
        <v>0</v>
      </c>
      <c r="P96">
        <f t="shared" si="7"/>
        <v>0</v>
      </c>
      <c r="Q96">
        <f t="shared" si="8"/>
        <v>1</v>
      </c>
      <c r="R96">
        <f t="shared" si="9"/>
        <v>0</v>
      </c>
      <c r="S96">
        <f t="shared" si="10"/>
        <v>0</v>
      </c>
      <c r="T96">
        <f t="shared" si="11"/>
        <v>1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>
        <v>0</v>
      </c>
      <c r="L97" s="4">
        <v>4.5</v>
      </c>
      <c r="M97">
        <v>607898.12</v>
      </c>
      <c r="N97">
        <v>135404.85</v>
      </c>
      <c r="O97">
        <f t="shared" si="6"/>
        <v>0</v>
      </c>
      <c r="P97">
        <f t="shared" si="7"/>
        <v>0</v>
      </c>
      <c r="Q97">
        <f t="shared" si="8"/>
        <v>1</v>
      </c>
      <c r="R97">
        <f t="shared" si="9"/>
        <v>0</v>
      </c>
      <c r="S97">
        <f t="shared" si="10"/>
        <v>0</v>
      </c>
      <c r="T97">
        <f t="shared" si="11"/>
        <v>1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>
        <v>0</v>
      </c>
      <c r="L98" s="4">
        <v>4.4000000000000004</v>
      </c>
      <c r="M98">
        <v>691113.62</v>
      </c>
      <c r="N98">
        <v>135145.44</v>
      </c>
      <c r="O98">
        <f t="shared" si="6"/>
        <v>0</v>
      </c>
      <c r="P98">
        <f t="shared" si="7"/>
        <v>0</v>
      </c>
      <c r="Q98">
        <f t="shared" si="8"/>
        <v>1</v>
      </c>
      <c r="R98">
        <f t="shared" si="9"/>
        <v>0</v>
      </c>
      <c r="S98">
        <f t="shared" si="10"/>
        <v>1</v>
      </c>
      <c r="T98">
        <f t="shared" si="11"/>
        <v>0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>
        <v>0</v>
      </c>
      <c r="L99" s="4">
        <v>4.3</v>
      </c>
      <c r="M99">
        <v>735509.4</v>
      </c>
      <c r="N99">
        <v>83895.96</v>
      </c>
      <c r="O99">
        <f t="shared" si="6"/>
        <v>0</v>
      </c>
      <c r="P99">
        <f t="shared" si="7"/>
        <v>0</v>
      </c>
      <c r="Q99">
        <f t="shared" si="8"/>
        <v>1</v>
      </c>
      <c r="R99">
        <f t="shared" si="9"/>
        <v>0</v>
      </c>
      <c r="S99">
        <f t="shared" si="10"/>
        <v>1</v>
      </c>
      <c r="T99">
        <f t="shared" si="11"/>
        <v>0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J100" s="4"/>
      <c r="K100">
        <v>0</v>
      </c>
      <c r="L100" s="4">
        <v>4.3</v>
      </c>
      <c r="M100">
        <v>605775.32999999996</v>
      </c>
      <c r="N100">
        <v>107194.6</v>
      </c>
      <c r="O100">
        <f t="shared" si="6"/>
        <v>0</v>
      </c>
      <c r="P100">
        <f t="shared" si="7"/>
        <v>0</v>
      </c>
      <c r="Q100">
        <f t="shared" si="8"/>
        <v>1</v>
      </c>
      <c r="R100">
        <f t="shared" si="9"/>
        <v>0</v>
      </c>
      <c r="S100">
        <f t="shared" si="10"/>
        <v>1</v>
      </c>
      <c r="T100">
        <f t="shared" si="11"/>
        <v>0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>
        <v>0</v>
      </c>
      <c r="L101" s="4">
        <v>4.4000000000000004</v>
      </c>
      <c r="M101">
        <v>675177.68</v>
      </c>
      <c r="N101">
        <v>105628.68</v>
      </c>
      <c r="O101">
        <f t="shared" si="6"/>
        <v>0</v>
      </c>
      <c r="P101">
        <f t="shared" si="7"/>
        <v>0</v>
      </c>
      <c r="Q101">
        <f t="shared" si="8"/>
        <v>1</v>
      </c>
      <c r="R101">
        <f t="shared" si="9"/>
        <v>0</v>
      </c>
      <c r="S101">
        <f t="shared" si="10"/>
        <v>1</v>
      </c>
      <c r="T101">
        <f t="shared" si="11"/>
        <v>0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>
        <v>0</v>
      </c>
      <c r="L102" s="4">
        <v>4.4000000000000004</v>
      </c>
      <c r="M102">
        <v>635181.35</v>
      </c>
      <c r="N102">
        <v>83341.25</v>
      </c>
      <c r="O102">
        <f t="shared" si="6"/>
        <v>0</v>
      </c>
      <c r="P102">
        <f t="shared" si="7"/>
        <v>0</v>
      </c>
      <c r="Q102">
        <f t="shared" si="8"/>
        <v>0</v>
      </c>
      <c r="R102">
        <f t="shared" si="9"/>
        <v>0</v>
      </c>
      <c r="S102">
        <f t="shared" si="10"/>
        <v>1</v>
      </c>
      <c r="T102">
        <f t="shared" si="11"/>
        <v>0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>
        <v>0</v>
      </c>
      <c r="L103" s="4">
        <v>4.7</v>
      </c>
      <c r="M103">
        <v>586626.93999999994</v>
      </c>
      <c r="N103">
        <v>86498.55</v>
      </c>
      <c r="O103">
        <f t="shared" si="6"/>
        <v>0</v>
      </c>
      <c r="P103">
        <f t="shared" si="7"/>
        <v>0</v>
      </c>
      <c r="Q103">
        <f t="shared" si="8"/>
        <v>0</v>
      </c>
      <c r="R103">
        <f t="shared" si="9"/>
        <v>0</v>
      </c>
      <c r="S103">
        <f t="shared" si="10"/>
        <v>1</v>
      </c>
      <c r="T103">
        <f t="shared" si="11"/>
        <v>0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>
        <v>1</v>
      </c>
      <c r="L104" s="4">
        <v>4.4000000000000004</v>
      </c>
      <c r="M104">
        <v>740102.64</v>
      </c>
      <c r="N104">
        <v>114299.07</v>
      </c>
      <c r="O104">
        <f t="shared" si="6"/>
        <v>0</v>
      </c>
      <c r="P104">
        <f t="shared" si="7"/>
        <v>0</v>
      </c>
      <c r="Q104">
        <f t="shared" si="8"/>
        <v>0</v>
      </c>
      <c r="R104">
        <f t="shared" si="9"/>
        <v>0</v>
      </c>
      <c r="S104">
        <f t="shared" si="10"/>
        <v>1</v>
      </c>
      <c r="T104">
        <f t="shared" si="11"/>
        <v>0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>
        <v>0</v>
      </c>
      <c r="L105" s="4">
        <v>5</v>
      </c>
      <c r="M105">
        <v>625514.04</v>
      </c>
      <c r="N105">
        <v>120685.08</v>
      </c>
      <c r="O105">
        <f t="shared" si="6"/>
        <v>0</v>
      </c>
      <c r="P105">
        <f t="shared" si="7"/>
        <v>0</v>
      </c>
      <c r="Q105">
        <f t="shared" si="8"/>
        <v>0</v>
      </c>
      <c r="R105">
        <f t="shared" si="9"/>
        <v>0</v>
      </c>
      <c r="S105">
        <f t="shared" si="10"/>
        <v>1</v>
      </c>
      <c r="T105">
        <f t="shared" si="11"/>
        <v>0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>
        <v>0</v>
      </c>
      <c r="L106" s="4">
        <v>2.9</v>
      </c>
      <c r="M106">
        <v>727227.2</v>
      </c>
      <c r="N106">
        <v>121292.01</v>
      </c>
      <c r="O106">
        <f t="shared" si="6"/>
        <v>0</v>
      </c>
      <c r="P106">
        <f t="shared" si="7"/>
        <v>0</v>
      </c>
      <c r="Q106">
        <f t="shared" si="8"/>
        <v>1</v>
      </c>
      <c r="R106">
        <f t="shared" si="9"/>
        <v>0</v>
      </c>
      <c r="S106">
        <f t="shared" si="10"/>
        <v>0</v>
      </c>
      <c r="T106">
        <f t="shared" si="11"/>
        <v>0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>
        <v>0</v>
      </c>
      <c r="L107" s="4">
        <v>3</v>
      </c>
      <c r="M107">
        <v>783797.89</v>
      </c>
      <c r="N107">
        <v>157620.70000000001</v>
      </c>
      <c r="O107">
        <f t="shared" si="6"/>
        <v>0</v>
      </c>
      <c r="P107">
        <f t="shared" si="7"/>
        <v>0</v>
      </c>
      <c r="Q107">
        <f t="shared" si="8"/>
        <v>1</v>
      </c>
      <c r="R107">
        <f t="shared" si="9"/>
        <v>0</v>
      </c>
      <c r="S107">
        <f t="shared" si="10"/>
        <v>0</v>
      </c>
      <c r="T107">
        <f t="shared" si="11"/>
        <v>0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>
        <v>0</v>
      </c>
      <c r="L108" s="4">
        <v>3</v>
      </c>
      <c r="M108">
        <v>795153.84</v>
      </c>
      <c r="N108">
        <v>143194.21</v>
      </c>
      <c r="O108">
        <f t="shared" si="6"/>
        <v>0</v>
      </c>
      <c r="P108">
        <f t="shared" si="7"/>
        <v>0</v>
      </c>
      <c r="Q108">
        <f t="shared" si="8"/>
        <v>1</v>
      </c>
      <c r="R108">
        <f t="shared" si="9"/>
        <v>0</v>
      </c>
      <c r="S108">
        <f t="shared" si="10"/>
        <v>0</v>
      </c>
      <c r="T108">
        <f t="shared" si="11"/>
        <v>0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>
        <v>0</v>
      </c>
      <c r="L109" s="4">
        <v>3.2</v>
      </c>
      <c r="M109">
        <v>665594.93999999994</v>
      </c>
      <c r="N109">
        <v>127597.34</v>
      </c>
      <c r="O109">
        <f t="shared" si="6"/>
        <v>0</v>
      </c>
      <c r="P109">
        <f t="shared" si="7"/>
        <v>0</v>
      </c>
      <c r="Q109">
        <f t="shared" si="8"/>
        <v>1</v>
      </c>
      <c r="R109">
        <f t="shared" si="9"/>
        <v>0</v>
      </c>
      <c r="S109">
        <f t="shared" si="10"/>
        <v>0</v>
      </c>
      <c r="T109">
        <f t="shared" si="11"/>
        <v>0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>
        <v>1</v>
      </c>
      <c r="L110" s="4">
        <v>3.8</v>
      </c>
      <c r="M110">
        <v>709478.39</v>
      </c>
      <c r="N110">
        <v>71294.27</v>
      </c>
      <c r="O110">
        <f t="shared" si="6"/>
        <v>0</v>
      </c>
      <c r="P110">
        <f t="shared" si="7"/>
        <v>0</v>
      </c>
      <c r="Q110">
        <f t="shared" si="8"/>
        <v>0</v>
      </c>
      <c r="R110">
        <f t="shared" si="9"/>
        <v>0</v>
      </c>
      <c r="S110">
        <f t="shared" si="10"/>
        <v>1</v>
      </c>
      <c r="T110">
        <f t="shared" si="11"/>
        <v>0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>
        <v>0</v>
      </c>
      <c r="L111" s="4">
        <v>3.8</v>
      </c>
      <c r="M111">
        <v>664162.49</v>
      </c>
      <c r="N111">
        <v>98291.06</v>
      </c>
      <c r="O111">
        <f t="shared" si="6"/>
        <v>0</v>
      </c>
      <c r="P111">
        <f t="shared" si="7"/>
        <v>0</v>
      </c>
      <c r="Q111">
        <f t="shared" si="8"/>
        <v>0</v>
      </c>
      <c r="R111">
        <f t="shared" si="9"/>
        <v>0</v>
      </c>
      <c r="S111">
        <f t="shared" si="10"/>
        <v>1</v>
      </c>
      <c r="T111">
        <f t="shared" si="11"/>
        <v>0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>
        <v>0</v>
      </c>
      <c r="L112" s="4">
        <v>4.2</v>
      </c>
      <c r="M112">
        <v>633494.21</v>
      </c>
      <c r="N112">
        <v>105739.47</v>
      </c>
      <c r="O112">
        <f t="shared" si="6"/>
        <v>0</v>
      </c>
      <c r="P112">
        <f t="shared" si="7"/>
        <v>0</v>
      </c>
      <c r="Q112">
        <f t="shared" si="8"/>
        <v>0</v>
      </c>
      <c r="R112">
        <f t="shared" si="9"/>
        <v>0</v>
      </c>
      <c r="S112">
        <f t="shared" si="10"/>
        <v>1</v>
      </c>
      <c r="T112">
        <f t="shared" si="11"/>
        <v>0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>
        <v>0</v>
      </c>
      <c r="L113" s="4">
        <v>3.5</v>
      </c>
      <c r="M113">
        <v>713611.16</v>
      </c>
      <c r="N113">
        <v>129717.18</v>
      </c>
      <c r="O113">
        <f t="shared" si="6"/>
        <v>0</v>
      </c>
      <c r="P113">
        <f t="shared" si="7"/>
        <v>0</v>
      </c>
      <c r="Q113">
        <f t="shared" si="8"/>
        <v>0</v>
      </c>
      <c r="R113">
        <f t="shared" si="9"/>
        <v>0</v>
      </c>
      <c r="S113">
        <f t="shared" si="10"/>
        <v>1</v>
      </c>
      <c r="T113">
        <f t="shared" si="11"/>
        <v>0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>
        <v>0</v>
      </c>
      <c r="L114" s="4">
        <v>3.1</v>
      </c>
      <c r="M114">
        <v>778397.97</v>
      </c>
      <c r="N114">
        <v>120044.41</v>
      </c>
      <c r="O114">
        <f t="shared" si="6"/>
        <v>0</v>
      </c>
      <c r="P114">
        <f t="shared" si="7"/>
        <v>0</v>
      </c>
      <c r="Q114">
        <f t="shared" si="8"/>
        <v>1</v>
      </c>
      <c r="R114">
        <f t="shared" si="9"/>
        <v>0</v>
      </c>
      <c r="S114">
        <f t="shared" si="10"/>
        <v>1</v>
      </c>
      <c r="T114">
        <f t="shared" si="11"/>
        <v>0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>
        <v>0</v>
      </c>
      <c r="L115" s="4">
        <v>3.5</v>
      </c>
      <c r="M115">
        <v>873380.02</v>
      </c>
      <c r="N115">
        <v>149734.76</v>
      </c>
      <c r="O115">
        <f t="shared" si="6"/>
        <v>0</v>
      </c>
      <c r="P115">
        <f t="shared" si="7"/>
        <v>0</v>
      </c>
      <c r="Q115">
        <f t="shared" si="8"/>
        <v>1</v>
      </c>
      <c r="R115">
        <f t="shared" si="9"/>
        <v>0</v>
      </c>
      <c r="S115">
        <f t="shared" si="10"/>
        <v>1</v>
      </c>
      <c r="T115">
        <f t="shared" si="11"/>
        <v>0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>
        <v>0</v>
      </c>
      <c r="L116" s="4">
        <v>2.8</v>
      </c>
      <c r="M116">
        <v>697287.9</v>
      </c>
      <c r="N116">
        <v>128208.33</v>
      </c>
      <c r="O116">
        <f t="shared" si="6"/>
        <v>0</v>
      </c>
      <c r="P116">
        <f t="shared" si="7"/>
        <v>0</v>
      </c>
      <c r="Q116">
        <f t="shared" si="8"/>
        <v>1</v>
      </c>
      <c r="R116">
        <f t="shared" si="9"/>
        <v>0</v>
      </c>
      <c r="S116">
        <f t="shared" si="10"/>
        <v>1</v>
      </c>
      <c r="T116">
        <f t="shared" si="11"/>
        <v>0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>
        <v>0</v>
      </c>
      <c r="L117" s="4">
        <v>3.3</v>
      </c>
      <c r="M117">
        <v>718074.79</v>
      </c>
      <c r="N117">
        <v>115819.87</v>
      </c>
      <c r="O117">
        <f t="shared" si="6"/>
        <v>0</v>
      </c>
      <c r="P117">
        <f t="shared" si="7"/>
        <v>0</v>
      </c>
      <c r="Q117">
        <f t="shared" si="8"/>
        <v>1</v>
      </c>
      <c r="R117">
        <f t="shared" si="9"/>
        <v>0</v>
      </c>
      <c r="S117">
        <f t="shared" si="10"/>
        <v>1</v>
      </c>
      <c r="T117">
        <f t="shared" si="11"/>
        <v>0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>
        <v>1</v>
      </c>
      <c r="L118" s="4">
        <v>4.7</v>
      </c>
      <c r="M118">
        <v>714942.43</v>
      </c>
      <c r="N118">
        <v>94697.71</v>
      </c>
      <c r="O118">
        <f t="shared" si="6"/>
        <v>0</v>
      </c>
      <c r="P118">
        <f t="shared" si="7"/>
        <v>0</v>
      </c>
      <c r="Q118">
        <f t="shared" si="8"/>
        <v>1</v>
      </c>
      <c r="R118">
        <f t="shared" si="9"/>
        <v>0</v>
      </c>
      <c r="S118">
        <f t="shared" si="10"/>
        <v>0</v>
      </c>
      <c r="T118">
        <f t="shared" si="11"/>
        <v>1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>
        <v>0</v>
      </c>
      <c r="L119" s="4">
        <v>4.7</v>
      </c>
      <c r="M119">
        <v>820519.04</v>
      </c>
      <c r="N119">
        <v>99035.88</v>
      </c>
      <c r="O119">
        <f t="shared" si="6"/>
        <v>0</v>
      </c>
      <c r="P119">
        <f t="shared" si="7"/>
        <v>0</v>
      </c>
      <c r="Q119">
        <f t="shared" si="8"/>
        <v>1</v>
      </c>
      <c r="R119">
        <f t="shared" si="9"/>
        <v>0</v>
      </c>
      <c r="S119">
        <f t="shared" si="10"/>
        <v>0</v>
      </c>
      <c r="T119">
        <f t="shared" si="11"/>
        <v>1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>
        <v>0</v>
      </c>
      <c r="L120" s="4">
        <v>4.5999999999999996</v>
      </c>
      <c r="M120">
        <v>684217.32</v>
      </c>
      <c r="N120">
        <v>136217.19</v>
      </c>
      <c r="O120">
        <f t="shared" si="6"/>
        <v>0</v>
      </c>
      <c r="P120">
        <f t="shared" si="7"/>
        <v>0</v>
      </c>
      <c r="Q120">
        <f t="shared" si="8"/>
        <v>1</v>
      </c>
      <c r="R120">
        <f t="shared" si="9"/>
        <v>0</v>
      </c>
      <c r="S120">
        <f t="shared" si="10"/>
        <v>0</v>
      </c>
      <c r="T120">
        <f t="shared" si="11"/>
        <v>1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>
        <v>0</v>
      </c>
      <c r="L121" s="4">
        <v>4.7</v>
      </c>
      <c r="M121">
        <v>735480.19</v>
      </c>
      <c r="N121">
        <v>88342.11</v>
      </c>
      <c r="O121">
        <f t="shared" si="6"/>
        <v>0</v>
      </c>
      <c r="P121">
        <f t="shared" si="7"/>
        <v>0</v>
      </c>
      <c r="Q121">
        <f t="shared" si="8"/>
        <v>1</v>
      </c>
      <c r="R121">
        <f t="shared" si="9"/>
        <v>0</v>
      </c>
      <c r="S121">
        <f t="shared" si="10"/>
        <v>0</v>
      </c>
      <c r="T121">
        <f t="shared" si="11"/>
        <v>1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>
        <v>0</v>
      </c>
      <c r="L122" s="4">
        <v>4.4000000000000004</v>
      </c>
      <c r="M122">
        <v>509484.81</v>
      </c>
      <c r="N122">
        <v>85742.36</v>
      </c>
      <c r="O122">
        <f t="shared" si="6"/>
        <v>1</v>
      </c>
      <c r="P122">
        <f t="shared" si="7"/>
        <v>0</v>
      </c>
      <c r="Q122">
        <f t="shared" si="8"/>
        <v>0</v>
      </c>
      <c r="R122">
        <f t="shared" si="9"/>
        <v>0</v>
      </c>
      <c r="S122">
        <f t="shared" si="10"/>
        <v>0</v>
      </c>
      <c r="T122">
        <f t="shared" si="11"/>
        <v>0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>
        <v>0</v>
      </c>
      <c r="L123" s="4">
        <v>3.7</v>
      </c>
      <c r="M123">
        <v>654317.09</v>
      </c>
      <c r="N123">
        <v>121446.89</v>
      </c>
      <c r="O123">
        <f t="shared" si="6"/>
        <v>1</v>
      </c>
      <c r="P123">
        <f t="shared" si="7"/>
        <v>0</v>
      </c>
      <c r="Q123">
        <f t="shared" si="8"/>
        <v>0</v>
      </c>
      <c r="R123">
        <f t="shared" si="9"/>
        <v>0</v>
      </c>
      <c r="S123">
        <f t="shared" si="10"/>
        <v>0</v>
      </c>
      <c r="T123">
        <f t="shared" si="11"/>
        <v>0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>
        <v>0</v>
      </c>
      <c r="L124" s="4">
        <v>3.9</v>
      </c>
      <c r="M124">
        <v>557487.26</v>
      </c>
      <c r="N124">
        <v>76432.19</v>
      </c>
      <c r="O124">
        <f t="shared" si="6"/>
        <v>1</v>
      </c>
      <c r="P124">
        <f t="shared" si="7"/>
        <v>0</v>
      </c>
      <c r="Q124">
        <f t="shared" si="8"/>
        <v>0</v>
      </c>
      <c r="R124">
        <f t="shared" si="9"/>
        <v>0</v>
      </c>
      <c r="S124">
        <f t="shared" si="10"/>
        <v>0</v>
      </c>
      <c r="T124">
        <f t="shared" si="11"/>
        <v>0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>
        <v>0</v>
      </c>
      <c r="L125" s="4">
        <v>4.4000000000000004</v>
      </c>
      <c r="M125">
        <v>441275.42</v>
      </c>
      <c r="N125">
        <v>58234.87</v>
      </c>
      <c r="O125">
        <f t="shared" si="6"/>
        <v>1</v>
      </c>
      <c r="P125">
        <f t="shared" si="7"/>
        <v>0</v>
      </c>
      <c r="Q125">
        <f t="shared" si="8"/>
        <v>0</v>
      </c>
      <c r="R125">
        <f t="shared" si="9"/>
        <v>0</v>
      </c>
      <c r="S125">
        <f t="shared" si="10"/>
        <v>0</v>
      </c>
      <c r="T125">
        <f t="shared" si="11"/>
        <v>0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>
        <v>1</v>
      </c>
      <c r="L126" s="4">
        <v>4.8</v>
      </c>
      <c r="M126">
        <v>914544.17</v>
      </c>
      <c r="N126">
        <v>79831.73</v>
      </c>
      <c r="O126">
        <f t="shared" si="6"/>
        <v>0</v>
      </c>
      <c r="P126">
        <f t="shared" si="7"/>
        <v>1</v>
      </c>
      <c r="Q126">
        <f t="shared" si="8"/>
        <v>0</v>
      </c>
      <c r="R126">
        <f t="shared" si="9"/>
        <v>0</v>
      </c>
      <c r="S126">
        <f t="shared" si="10"/>
        <v>0</v>
      </c>
      <c r="T126">
        <f t="shared" si="11"/>
        <v>0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>
        <v>0</v>
      </c>
      <c r="L127" s="4">
        <v>4.4000000000000004</v>
      </c>
      <c r="M127">
        <v>842439.67</v>
      </c>
      <c r="N127">
        <v>169983.63</v>
      </c>
      <c r="O127">
        <f t="shared" si="6"/>
        <v>0</v>
      </c>
      <c r="P127">
        <f t="shared" si="7"/>
        <v>1</v>
      </c>
      <c r="Q127">
        <f t="shared" si="8"/>
        <v>0</v>
      </c>
      <c r="R127">
        <f t="shared" si="9"/>
        <v>0</v>
      </c>
      <c r="S127">
        <f t="shared" si="10"/>
        <v>0</v>
      </c>
      <c r="T127">
        <f t="shared" si="11"/>
        <v>0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>
        <v>1</v>
      </c>
      <c r="L128" s="4">
        <v>4.9000000000000004</v>
      </c>
      <c r="M128">
        <v>842157.92</v>
      </c>
      <c r="N128">
        <v>107348.22</v>
      </c>
      <c r="O128">
        <f t="shared" si="6"/>
        <v>0</v>
      </c>
      <c r="P128">
        <f t="shared" si="7"/>
        <v>1</v>
      </c>
      <c r="Q128">
        <f t="shared" si="8"/>
        <v>0</v>
      </c>
      <c r="R128">
        <f t="shared" si="9"/>
        <v>0</v>
      </c>
      <c r="S128">
        <f t="shared" si="10"/>
        <v>0</v>
      </c>
      <c r="T128">
        <f t="shared" si="11"/>
        <v>0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>
        <v>0</v>
      </c>
      <c r="L129" s="4">
        <v>4.8</v>
      </c>
      <c r="M129">
        <v>697155.3</v>
      </c>
      <c r="N129">
        <v>136408.54</v>
      </c>
      <c r="O129">
        <f t="shared" si="6"/>
        <v>0</v>
      </c>
      <c r="P129">
        <f t="shared" si="7"/>
        <v>1</v>
      </c>
      <c r="Q129">
        <f t="shared" si="8"/>
        <v>0</v>
      </c>
      <c r="R129">
        <f t="shared" si="9"/>
        <v>0</v>
      </c>
      <c r="S129">
        <f t="shared" si="10"/>
        <v>0</v>
      </c>
      <c r="T129">
        <f t="shared" si="11"/>
        <v>0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>
        <v>1</v>
      </c>
      <c r="L130" s="4">
        <v>4.4000000000000004</v>
      </c>
      <c r="M130">
        <v>849018.3</v>
      </c>
      <c r="N130">
        <v>149035.13</v>
      </c>
      <c r="O130">
        <f t="shared" si="6"/>
        <v>0</v>
      </c>
      <c r="P130">
        <f t="shared" si="7"/>
        <v>0</v>
      </c>
      <c r="Q130">
        <f t="shared" si="8"/>
        <v>0</v>
      </c>
      <c r="R130">
        <f t="shared" si="9"/>
        <v>0</v>
      </c>
      <c r="S130">
        <f t="shared" si="10"/>
        <v>0</v>
      </c>
      <c r="T130">
        <f t="shared" si="11"/>
        <v>0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>
        <v>0</v>
      </c>
      <c r="L131" s="4">
        <v>4</v>
      </c>
      <c r="M131">
        <v>801830.35</v>
      </c>
      <c r="N131">
        <v>114875.32</v>
      </c>
      <c r="O131">
        <f t="shared" ref="O131:O194" si="12">IF(C131="North",1,0)</f>
        <v>0</v>
      </c>
      <c r="P131">
        <f t="shared" ref="P131:P194" si="13">IF(C131="South",1,0)</f>
        <v>0</v>
      </c>
      <c r="Q131">
        <f t="shared" ref="Q131:Q194" si="14">IF(C131="West",1,0)</f>
        <v>0</v>
      </c>
      <c r="R131">
        <f t="shared" ref="R131:R194" si="15">IF(D131="Airport",1,0)</f>
        <v>0</v>
      </c>
      <c r="S131">
        <f t="shared" ref="S131:S194" si="16">IF(D131="Mall",1,0)</f>
        <v>0</v>
      </c>
      <c r="T131">
        <f t="shared" ref="T131:T194" si="17">IF(D131="Residential",1,0)</f>
        <v>0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>
        <v>1</v>
      </c>
      <c r="L132" s="4">
        <v>4.5</v>
      </c>
      <c r="M132">
        <v>725235.28</v>
      </c>
      <c r="N132">
        <v>121632.24</v>
      </c>
      <c r="O132">
        <f t="shared" si="12"/>
        <v>0</v>
      </c>
      <c r="P132">
        <f t="shared" si="13"/>
        <v>0</v>
      </c>
      <c r="Q132">
        <f t="shared" si="14"/>
        <v>0</v>
      </c>
      <c r="R132">
        <f t="shared" si="15"/>
        <v>0</v>
      </c>
      <c r="S132">
        <f t="shared" si="16"/>
        <v>0</v>
      </c>
      <c r="T132">
        <f t="shared" si="17"/>
        <v>0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>
        <v>0</v>
      </c>
      <c r="L133" s="4">
        <v>4.5</v>
      </c>
      <c r="M133">
        <v>811452.72</v>
      </c>
      <c r="N133">
        <v>131325.67000000001</v>
      </c>
      <c r="O133">
        <f t="shared" si="12"/>
        <v>0</v>
      </c>
      <c r="P133">
        <f t="shared" si="13"/>
        <v>0</v>
      </c>
      <c r="Q133">
        <f t="shared" si="14"/>
        <v>0</v>
      </c>
      <c r="R133">
        <f t="shared" si="15"/>
        <v>0</v>
      </c>
      <c r="S133">
        <f t="shared" si="16"/>
        <v>0</v>
      </c>
      <c r="T133">
        <f t="shared" si="17"/>
        <v>0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>
        <v>0</v>
      </c>
      <c r="L134" s="4">
        <v>4.4000000000000004</v>
      </c>
      <c r="M134">
        <v>527300.13</v>
      </c>
      <c r="N134">
        <v>84197.87</v>
      </c>
      <c r="O134">
        <f t="shared" si="12"/>
        <v>1</v>
      </c>
      <c r="P134">
        <f t="shared" si="13"/>
        <v>0</v>
      </c>
      <c r="Q134">
        <f t="shared" si="14"/>
        <v>0</v>
      </c>
      <c r="R134">
        <f t="shared" si="15"/>
        <v>0</v>
      </c>
      <c r="S134">
        <f t="shared" si="16"/>
        <v>0</v>
      </c>
      <c r="T134">
        <f t="shared" si="17"/>
        <v>0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>
        <v>0</v>
      </c>
      <c r="L135" s="4"/>
      <c r="M135">
        <v>400831.65</v>
      </c>
      <c r="N135">
        <v>70979.31</v>
      </c>
      <c r="O135">
        <f t="shared" si="12"/>
        <v>1</v>
      </c>
      <c r="P135">
        <f t="shared" si="13"/>
        <v>0</v>
      </c>
      <c r="Q135">
        <f t="shared" si="14"/>
        <v>0</v>
      </c>
      <c r="R135">
        <f t="shared" si="15"/>
        <v>0</v>
      </c>
      <c r="S135">
        <f t="shared" si="16"/>
        <v>0</v>
      </c>
      <c r="T135">
        <f t="shared" si="17"/>
        <v>0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>
        <v>1</v>
      </c>
      <c r="L136" s="4">
        <v>4.4000000000000004</v>
      </c>
      <c r="M136">
        <v>593247.25</v>
      </c>
      <c r="N136">
        <v>81240.289999999994</v>
      </c>
      <c r="O136">
        <f t="shared" si="12"/>
        <v>1</v>
      </c>
      <c r="P136">
        <f t="shared" si="13"/>
        <v>0</v>
      </c>
      <c r="Q136">
        <f t="shared" si="14"/>
        <v>0</v>
      </c>
      <c r="R136">
        <f t="shared" si="15"/>
        <v>0</v>
      </c>
      <c r="S136">
        <f t="shared" si="16"/>
        <v>0</v>
      </c>
      <c r="T136">
        <f t="shared" si="17"/>
        <v>0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>
        <v>0</v>
      </c>
      <c r="L137" s="4">
        <v>4.5999999999999996</v>
      </c>
      <c r="M137">
        <v>529075.94999999995</v>
      </c>
      <c r="N137">
        <v>95978.83</v>
      </c>
      <c r="O137">
        <f t="shared" si="12"/>
        <v>1</v>
      </c>
      <c r="P137">
        <f t="shared" si="13"/>
        <v>0</v>
      </c>
      <c r="Q137">
        <f t="shared" si="14"/>
        <v>0</v>
      </c>
      <c r="R137">
        <f t="shared" si="15"/>
        <v>0</v>
      </c>
      <c r="S137">
        <f t="shared" si="16"/>
        <v>0</v>
      </c>
      <c r="T137">
        <f t="shared" si="17"/>
        <v>0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>
        <v>0</v>
      </c>
      <c r="L138" s="4"/>
      <c r="M138">
        <v>633638.03</v>
      </c>
      <c r="N138">
        <v>99402.01</v>
      </c>
      <c r="O138">
        <f t="shared" si="12"/>
        <v>0</v>
      </c>
      <c r="P138">
        <f t="shared" si="13"/>
        <v>1</v>
      </c>
      <c r="Q138">
        <f t="shared" si="14"/>
        <v>0</v>
      </c>
      <c r="R138">
        <f t="shared" si="15"/>
        <v>0</v>
      </c>
      <c r="S138">
        <f t="shared" si="16"/>
        <v>0</v>
      </c>
      <c r="T138">
        <f t="shared" si="17"/>
        <v>1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>
        <v>0</v>
      </c>
      <c r="L139" s="4">
        <v>3.7</v>
      </c>
      <c r="M139">
        <v>743348.84</v>
      </c>
      <c r="N139">
        <v>104186.09</v>
      </c>
      <c r="O139">
        <f t="shared" si="12"/>
        <v>0</v>
      </c>
      <c r="P139">
        <f t="shared" si="13"/>
        <v>1</v>
      </c>
      <c r="Q139">
        <f t="shared" si="14"/>
        <v>0</v>
      </c>
      <c r="R139">
        <f t="shared" si="15"/>
        <v>0</v>
      </c>
      <c r="S139">
        <f t="shared" si="16"/>
        <v>0</v>
      </c>
      <c r="T139">
        <f t="shared" si="17"/>
        <v>1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>
        <v>1</v>
      </c>
      <c r="L140" s="4">
        <v>3.3</v>
      </c>
      <c r="M140">
        <v>758827.64</v>
      </c>
      <c r="N140">
        <v>161439.48000000001</v>
      </c>
      <c r="O140">
        <f t="shared" si="12"/>
        <v>0</v>
      </c>
      <c r="P140">
        <f t="shared" si="13"/>
        <v>1</v>
      </c>
      <c r="Q140">
        <f t="shared" si="14"/>
        <v>0</v>
      </c>
      <c r="R140">
        <f t="shared" si="15"/>
        <v>0</v>
      </c>
      <c r="S140">
        <f t="shared" si="16"/>
        <v>0</v>
      </c>
      <c r="T140">
        <f t="shared" si="17"/>
        <v>1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>
        <v>0</v>
      </c>
      <c r="L141" s="4">
        <v>3.6</v>
      </c>
      <c r="M141">
        <v>646559.71</v>
      </c>
      <c r="N141">
        <v>97981.75</v>
      </c>
      <c r="O141">
        <f t="shared" si="12"/>
        <v>0</v>
      </c>
      <c r="P141">
        <f t="shared" si="13"/>
        <v>1</v>
      </c>
      <c r="Q141">
        <f t="shared" si="14"/>
        <v>0</v>
      </c>
      <c r="R141">
        <f t="shared" si="15"/>
        <v>0</v>
      </c>
      <c r="S141">
        <f t="shared" si="16"/>
        <v>0</v>
      </c>
      <c r="T141">
        <f t="shared" si="17"/>
        <v>1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>
        <v>0</v>
      </c>
      <c r="L142" s="4">
        <v>4.0999999999999996</v>
      </c>
      <c r="M142">
        <v>715890.53</v>
      </c>
      <c r="N142">
        <v>109032.15</v>
      </c>
      <c r="O142">
        <f t="shared" si="12"/>
        <v>0</v>
      </c>
      <c r="P142">
        <f t="shared" si="13"/>
        <v>0</v>
      </c>
      <c r="Q142">
        <f t="shared" si="14"/>
        <v>1</v>
      </c>
      <c r="R142">
        <f t="shared" si="15"/>
        <v>0</v>
      </c>
      <c r="S142">
        <f t="shared" si="16"/>
        <v>0</v>
      </c>
      <c r="T142">
        <f t="shared" si="17"/>
        <v>0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>
        <v>0</v>
      </c>
      <c r="L143" s="4">
        <v>4.2</v>
      </c>
      <c r="M143">
        <v>715097.57</v>
      </c>
      <c r="N143">
        <v>151875.85999999999</v>
      </c>
      <c r="O143">
        <f t="shared" si="12"/>
        <v>0</v>
      </c>
      <c r="P143">
        <f t="shared" si="13"/>
        <v>0</v>
      </c>
      <c r="Q143">
        <f t="shared" si="14"/>
        <v>1</v>
      </c>
      <c r="R143">
        <f t="shared" si="15"/>
        <v>0</v>
      </c>
      <c r="S143">
        <f t="shared" si="16"/>
        <v>0</v>
      </c>
      <c r="T143">
        <f t="shared" si="17"/>
        <v>0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>
        <v>0</v>
      </c>
      <c r="L144" s="4">
        <v>3.8</v>
      </c>
      <c r="M144">
        <v>682639.28</v>
      </c>
      <c r="N144">
        <v>77557.53</v>
      </c>
      <c r="O144">
        <f t="shared" si="12"/>
        <v>0</v>
      </c>
      <c r="P144">
        <f t="shared" si="13"/>
        <v>0</v>
      </c>
      <c r="Q144">
        <f t="shared" si="14"/>
        <v>1</v>
      </c>
      <c r="R144">
        <f t="shared" si="15"/>
        <v>0</v>
      </c>
      <c r="S144">
        <f t="shared" si="16"/>
        <v>0</v>
      </c>
      <c r="T144">
        <f t="shared" si="17"/>
        <v>0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>
        <v>0</v>
      </c>
      <c r="L145" s="4">
        <v>3.9</v>
      </c>
      <c r="M145">
        <v>695098.51</v>
      </c>
      <c r="N145">
        <v>108192.75</v>
      </c>
      <c r="O145">
        <f t="shared" si="12"/>
        <v>0</v>
      </c>
      <c r="P145">
        <f t="shared" si="13"/>
        <v>0</v>
      </c>
      <c r="Q145">
        <f t="shared" si="14"/>
        <v>1</v>
      </c>
      <c r="R145">
        <f t="shared" si="15"/>
        <v>0</v>
      </c>
      <c r="S145">
        <f t="shared" si="16"/>
        <v>0</v>
      </c>
      <c r="T145">
        <f t="shared" si="17"/>
        <v>0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>
        <v>0</v>
      </c>
      <c r="L146" s="4">
        <v>3.2</v>
      </c>
      <c r="M146">
        <v>577732.56999999995</v>
      </c>
      <c r="N146">
        <v>93804.27</v>
      </c>
      <c r="O146">
        <f t="shared" si="12"/>
        <v>1</v>
      </c>
      <c r="P146">
        <f t="shared" si="13"/>
        <v>0</v>
      </c>
      <c r="Q146">
        <f t="shared" si="14"/>
        <v>0</v>
      </c>
      <c r="R146">
        <f t="shared" si="15"/>
        <v>0</v>
      </c>
      <c r="S146">
        <f t="shared" si="16"/>
        <v>0</v>
      </c>
      <c r="T146">
        <f t="shared" si="17"/>
        <v>1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>
        <v>0</v>
      </c>
      <c r="L147" s="4">
        <v>3.5</v>
      </c>
      <c r="M147">
        <v>537058.32999999996</v>
      </c>
      <c r="N147">
        <v>93555.71</v>
      </c>
      <c r="O147">
        <f t="shared" si="12"/>
        <v>1</v>
      </c>
      <c r="P147">
        <f t="shared" si="13"/>
        <v>0</v>
      </c>
      <c r="Q147">
        <f t="shared" si="14"/>
        <v>0</v>
      </c>
      <c r="R147">
        <f t="shared" si="15"/>
        <v>0</v>
      </c>
      <c r="S147">
        <f t="shared" si="16"/>
        <v>0</v>
      </c>
      <c r="T147">
        <f t="shared" si="17"/>
        <v>1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>
        <v>0</v>
      </c>
      <c r="L148" s="4">
        <v>3.4</v>
      </c>
      <c r="M148">
        <v>601568.87</v>
      </c>
      <c r="N148">
        <v>91634.82</v>
      </c>
      <c r="O148">
        <f t="shared" si="12"/>
        <v>1</v>
      </c>
      <c r="P148">
        <f t="shared" si="13"/>
        <v>0</v>
      </c>
      <c r="Q148">
        <f t="shared" si="14"/>
        <v>0</v>
      </c>
      <c r="R148">
        <f t="shared" si="15"/>
        <v>0</v>
      </c>
      <c r="S148">
        <f t="shared" si="16"/>
        <v>0</v>
      </c>
      <c r="T148">
        <f t="shared" si="17"/>
        <v>1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>
        <v>0</v>
      </c>
      <c r="L149" s="4">
        <v>3.4</v>
      </c>
      <c r="M149">
        <v>570964.84</v>
      </c>
      <c r="N149">
        <v>81331.070000000007</v>
      </c>
      <c r="O149">
        <f t="shared" si="12"/>
        <v>1</v>
      </c>
      <c r="P149">
        <f t="shared" si="13"/>
        <v>0</v>
      </c>
      <c r="Q149">
        <f t="shared" si="14"/>
        <v>0</v>
      </c>
      <c r="R149">
        <f t="shared" si="15"/>
        <v>0</v>
      </c>
      <c r="S149">
        <f t="shared" si="16"/>
        <v>0</v>
      </c>
      <c r="T149">
        <f t="shared" si="17"/>
        <v>1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>
        <v>0</v>
      </c>
      <c r="L150" s="4">
        <v>3.8</v>
      </c>
      <c r="M150">
        <v>614024.91</v>
      </c>
      <c r="N150">
        <v>84828.93</v>
      </c>
      <c r="O150">
        <f t="shared" si="12"/>
        <v>0</v>
      </c>
      <c r="P150">
        <f t="shared" si="13"/>
        <v>1</v>
      </c>
      <c r="Q150">
        <f t="shared" si="14"/>
        <v>0</v>
      </c>
      <c r="R150">
        <f t="shared" si="15"/>
        <v>0</v>
      </c>
      <c r="S150">
        <f t="shared" si="16"/>
        <v>1</v>
      </c>
      <c r="T150">
        <f t="shared" si="17"/>
        <v>0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>
        <v>0</v>
      </c>
      <c r="L151" s="4">
        <v>4.0999999999999996</v>
      </c>
      <c r="M151">
        <v>712868.35</v>
      </c>
      <c r="N151">
        <v>133650.51</v>
      </c>
      <c r="O151">
        <f t="shared" si="12"/>
        <v>0</v>
      </c>
      <c r="P151">
        <f t="shared" si="13"/>
        <v>1</v>
      </c>
      <c r="Q151">
        <f t="shared" si="14"/>
        <v>0</v>
      </c>
      <c r="R151">
        <f t="shared" si="15"/>
        <v>0</v>
      </c>
      <c r="S151">
        <f t="shared" si="16"/>
        <v>1</v>
      </c>
      <c r="T151">
        <f t="shared" si="17"/>
        <v>0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>
        <v>1</v>
      </c>
      <c r="L152" s="4">
        <v>3.7</v>
      </c>
      <c r="M152">
        <v>696744.15</v>
      </c>
      <c r="N152">
        <v>152230.09</v>
      </c>
      <c r="O152">
        <f t="shared" si="12"/>
        <v>0</v>
      </c>
      <c r="P152">
        <f t="shared" si="13"/>
        <v>1</v>
      </c>
      <c r="Q152">
        <f t="shared" si="14"/>
        <v>0</v>
      </c>
      <c r="R152">
        <f t="shared" si="15"/>
        <v>0</v>
      </c>
      <c r="S152">
        <f t="shared" si="16"/>
        <v>1</v>
      </c>
      <c r="T152">
        <f t="shared" si="17"/>
        <v>0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>
        <v>0</v>
      </c>
      <c r="L153" s="4">
        <v>4.0999999999999996</v>
      </c>
      <c r="M153">
        <v>725847.99</v>
      </c>
      <c r="N153">
        <v>122698.73</v>
      </c>
      <c r="O153">
        <f t="shared" si="12"/>
        <v>0</v>
      </c>
      <c r="P153">
        <f t="shared" si="13"/>
        <v>1</v>
      </c>
      <c r="Q153">
        <f t="shared" si="14"/>
        <v>0</v>
      </c>
      <c r="R153">
        <f t="shared" si="15"/>
        <v>0</v>
      </c>
      <c r="S153">
        <f t="shared" si="16"/>
        <v>1</v>
      </c>
      <c r="T153">
        <f t="shared" si="17"/>
        <v>0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>
        <v>0</v>
      </c>
      <c r="L154" s="4">
        <v>4.5</v>
      </c>
      <c r="M154">
        <v>785028.25</v>
      </c>
      <c r="N154">
        <v>110726.44</v>
      </c>
      <c r="O154">
        <f t="shared" si="12"/>
        <v>0</v>
      </c>
      <c r="P154">
        <f t="shared" si="13"/>
        <v>0</v>
      </c>
      <c r="Q154">
        <f t="shared" si="14"/>
        <v>0</v>
      </c>
      <c r="R154">
        <f t="shared" si="15"/>
        <v>0</v>
      </c>
      <c r="S154">
        <f t="shared" si="16"/>
        <v>0</v>
      </c>
      <c r="T154">
        <f t="shared" si="17"/>
        <v>0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>
        <v>0</v>
      </c>
      <c r="L155" s="4">
        <v>4.2</v>
      </c>
      <c r="M155">
        <v>698492.67</v>
      </c>
      <c r="N155">
        <v>117319.32</v>
      </c>
      <c r="O155">
        <f t="shared" si="12"/>
        <v>0</v>
      </c>
      <c r="P155">
        <f t="shared" si="13"/>
        <v>0</v>
      </c>
      <c r="Q155">
        <f t="shared" si="14"/>
        <v>0</v>
      </c>
      <c r="R155">
        <f t="shared" si="15"/>
        <v>0</v>
      </c>
      <c r="S155">
        <f t="shared" si="16"/>
        <v>0</v>
      </c>
      <c r="T155">
        <f t="shared" si="17"/>
        <v>0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>
        <v>0</v>
      </c>
      <c r="L156" s="4">
        <v>4.2</v>
      </c>
      <c r="M156">
        <v>685830.24</v>
      </c>
      <c r="N156">
        <v>128736.18</v>
      </c>
      <c r="O156">
        <f t="shared" si="12"/>
        <v>0</v>
      </c>
      <c r="P156">
        <f t="shared" si="13"/>
        <v>0</v>
      </c>
      <c r="Q156">
        <f t="shared" si="14"/>
        <v>0</v>
      </c>
      <c r="R156">
        <f t="shared" si="15"/>
        <v>0</v>
      </c>
      <c r="S156">
        <f t="shared" si="16"/>
        <v>0</v>
      </c>
      <c r="T156">
        <f t="shared" si="17"/>
        <v>0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>
        <v>0</v>
      </c>
      <c r="L157" s="4">
        <v>4.4000000000000004</v>
      </c>
      <c r="M157">
        <v>702318.94</v>
      </c>
      <c r="N157">
        <v>112829.29</v>
      </c>
      <c r="O157">
        <f t="shared" si="12"/>
        <v>0</v>
      </c>
      <c r="P157">
        <f t="shared" si="13"/>
        <v>0</v>
      </c>
      <c r="Q157">
        <f t="shared" si="14"/>
        <v>0</v>
      </c>
      <c r="R157">
        <f t="shared" si="15"/>
        <v>0</v>
      </c>
      <c r="S157">
        <f t="shared" si="16"/>
        <v>0</v>
      </c>
      <c r="T157">
        <f t="shared" si="17"/>
        <v>0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>
        <v>0</v>
      </c>
      <c r="L158" s="4">
        <v>3.9</v>
      </c>
      <c r="M158">
        <v>700078.32</v>
      </c>
      <c r="N158">
        <v>123707.58</v>
      </c>
      <c r="O158">
        <f t="shared" si="12"/>
        <v>1</v>
      </c>
      <c r="P158">
        <f t="shared" si="13"/>
        <v>0</v>
      </c>
      <c r="Q158">
        <f t="shared" si="14"/>
        <v>0</v>
      </c>
      <c r="R158">
        <f t="shared" si="15"/>
        <v>0</v>
      </c>
      <c r="S158">
        <f t="shared" si="16"/>
        <v>1</v>
      </c>
      <c r="T158">
        <f t="shared" si="17"/>
        <v>0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>
        <v>0</v>
      </c>
      <c r="L159" s="4">
        <v>3</v>
      </c>
      <c r="M159">
        <v>602002.31999999995</v>
      </c>
      <c r="N159">
        <v>110453.28</v>
      </c>
      <c r="O159">
        <f t="shared" si="12"/>
        <v>1</v>
      </c>
      <c r="P159">
        <f t="shared" si="13"/>
        <v>0</v>
      </c>
      <c r="Q159">
        <f t="shared" si="14"/>
        <v>0</v>
      </c>
      <c r="R159">
        <f t="shared" si="15"/>
        <v>0</v>
      </c>
      <c r="S159">
        <f t="shared" si="16"/>
        <v>1</v>
      </c>
      <c r="T159">
        <f t="shared" si="17"/>
        <v>0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>
        <v>0</v>
      </c>
      <c r="L160" s="4">
        <v>3.4</v>
      </c>
      <c r="M160">
        <v>724216.07</v>
      </c>
      <c r="N160">
        <v>100627.56</v>
      </c>
      <c r="O160">
        <f t="shared" si="12"/>
        <v>1</v>
      </c>
      <c r="P160">
        <f t="shared" si="13"/>
        <v>0</v>
      </c>
      <c r="Q160">
        <f t="shared" si="14"/>
        <v>0</v>
      </c>
      <c r="R160">
        <f t="shared" si="15"/>
        <v>0</v>
      </c>
      <c r="S160">
        <f t="shared" si="16"/>
        <v>1</v>
      </c>
      <c r="T160">
        <f t="shared" si="17"/>
        <v>0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>
        <v>0</v>
      </c>
      <c r="L161" s="4">
        <v>3.3</v>
      </c>
      <c r="M161">
        <v>620973.03</v>
      </c>
      <c r="N161">
        <v>72303.850000000006</v>
      </c>
      <c r="O161">
        <f t="shared" si="12"/>
        <v>1</v>
      </c>
      <c r="P161">
        <f t="shared" si="13"/>
        <v>0</v>
      </c>
      <c r="Q161">
        <f t="shared" si="14"/>
        <v>0</v>
      </c>
      <c r="R161">
        <f t="shared" si="15"/>
        <v>0</v>
      </c>
      <c r="S161">
        <f t="shared" si="16"/>
        <v>1</v>
      </c>
      <c r="T161">
        <f t="shared" si="17"/>
        <v>0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>
        <v>0</v>
      </c>
      <c r="L162" s="4">
        <v>4</v>
      </c>
      <c r="M162">
        <v>650480.06000000006</v>
      </c>
      <c r="N162">
        <v>109012.07</v>
      </c>
      <c r="O162">
        <f t="shared" si="12"/>
        <v>0</v>
      </c>
      <c r="P162">
        <f t="shared" si="13"/>
        <v>1</v>
      </c>
      <c r="Q162">
        <f t="shared" si="14"/>
        <v>0</v>
      </c>
      <c r="R162">
        <f t="shared" si="15"/>
        <v>0</v>
      </c>
      <c r="S162">
        <f t="shared" si="16"/>
        <v>0</v>
      </c>
      <c r="T162">
        <f t="shared" si="17"/>
        <v>0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>
        <v>0</v>
      </c>
      <c r="L163" s="4">
        <v>4.2</v>
      </c>
      <c r="M163">
        <v>778298.88</v>
      </c>
      <c r="N163">
        <v>130076.72</v>
      </c>
      <c r="O163">
        <f t="shared" si="12"/>
        <v>0</v>
      </c>
      <c r="P163">
        <f t="shared" si="13"/>
        <v>1</v>
      </c>
      <c r="Q163">
        <f t="shared" si="14"/>
        <v>0</v>
      </c>
      <c r="R163">
        <f t="shared" si="15"/>
        <v>0</v>
      </c>
      <c r="S163">
        <f t="shared" si="16"/>
        <v>0</v>
      </c>
      <c r="T163">
        <f t="shared" si="17"/>
        <v>0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J164" s="4"/>
      <c r="K164">
        <v>0</v>
      </c>
      <c r="L164" s="4">
        <v>4.2</v>
      </c>
      <c r="M164">
        <v>677096.71</v>
      </c>
      <c r="N164">
        <v>97174.11</v>
      </c>
      <c r="O164">
        <f t="shared" si="12"/>
        <v>0</v>
      </c>
      <c r="P164">
        <f t="shared" si="13"/>
        <v>1</v>
      </c>
      <c r="Q164">
        <f t="shared" si="14"/>
        <v>0</v>
      </c>
      <c r="R164">
        <f t="shared" si="15"/>
        <v>0</v>
      </c>
      <c r="S164">
        <f t="shared" si="16"/>
        <v>0</v>
      </c>
      <c r="T164">
        <f t="shared" si="17"/>
        <v>0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>
        <v>0</v>
      </c>
      <c r="L165" s="4">
        <v>4.3</v>
      </c>
      <c r="M165">
        <v>692008.64</v>
      </c>
      <c r="N165">
        <v>116337.87</v>
      </c>
      <c r="O165">
        <f t="shared" si="12"/>
        <v>0</v>
      </c>
      <c r="P165">
        <f t="shared" si="13"/>
        <v>1</v>
      </c>
      <c r="Q165">
        <f t="shared" si="14"/>
        <v>0</v>
      </c>
      <c r="R165">
        <f t="shared" si="15"/>
        <v>0</v>
      </c>
      <c r="S165">
        <f t="shared" si="16"/>
        <v>0</v>
      </c>
      <c r="T165">
        <f t="shared" si="17"/>
        <v>0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>
        <v>1</v>
      </c>
      <c r="L166" s="4">
        <v>4.3</v>
      </c>
      <c r="M166">
        <v>825797.91</v>
      </c>
      <c r="N166">
        <v>130945.24</v>
      </c>
      <c r="O166">
        <f t="shared" si="12"/>
        <v>1</v>
      </c>
      <c r="P166">
        <f t="shared" si="13"/>
        <v>0</v>
      </c>
      <c r="Q166">
        <f t="shared" si="14"/>
        <v>0</v>
      </c>
      <c r="R166">
        <f t="shared" si="15"/>
        <v>0</v>
      </c>
      <c r="S166">
        <f t="shared" si="16"/>
        <v>1</v>
      </c>
      <c r="T166">
        <f t="shared" si="17"/>
        <v>0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>
        <v>0</v>
      </c>
      <c r="L167" s="4">
        <v>4.2</v>
      </c>
      <c r="M167">
        <v>706285.52</v>
      </c>
      <c r="N167">
        <v>138014.72</v>
      </c>
      <c r="O167">
        <f t="shared" si="12"/>
        <v>1</v>
      </c>
      <c r="P167">
        <f t="shared" si="13"/>
        <v>0</v>
      </c>
      <c r="Q167">
        <f t="shared" si="14"/>
        <v>0</v>
      </c>
      <c r="R167">
        <f t="shared" si="15"/>
        <v>0</v>
      </c>
      <c r="S167">
        <f t="shared" si="16"/>
        <v>1</v>
      </c>
      <c r="T167">
        <f t="shared" si="17"/>
        <v>0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>
        <v>0</v>
      </c>
      <c r="L168" s="4">
        <v>4</v>
      </c>
      <c r="M168">
        <v>665534.69999999995</v>
      </c>
      <c r="N168">
        <v>113167.73</v>
      </c>
      <c r="O168">
        <f t="shared" si="12"/>
        <v>1</v>
      </c>
      <c r="P168">
        <f t="shared" si="13"/>
        <v>0</v>
      </c>
      <c r="Q168">
        <f t="shared" si="14"/>
        <v>0</v>
      </c>
      <c r="R168">
        <f t="shared" si="15"/>
        <v>0</v>
      </c>
      <c r="S168">
        <f t="shared" si="16"/>
        <v>1</v>
      </c>
      <c r="T168">
        <f t="shared" si="17"/>
        <v>0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>
        <v>0</v>
      </c>
      <c r="L169" s="4">
        <v>4.0999999999999996</v>
      </c>
      <c r="M169">
        <v>820729.29</v>
      </c>
      <c r="N169">
        <v>159325.47</v>
      </c>
      <c r="O169">
        <f t="shared" si="12"/>
        <v>1</v>
      </c>
      <c r="P169">
        <f t="shared" si="13"/>
        <v>0</v>
      </c>
      <c r="Q169">
        <f t="shared" si="14"/>
        <v>0</v>
      </c>
      <c r="R169">
        <f t="shared" si="15"/>
        <v>0</v>
      </c>
      <c r="S169">
        <f t="shared" si="16"/>
        <v>1</v>
      </c>
      <c r="T169">
        <f t="shared" si="17"/>
        <v>0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>
        <v>0</v>
      </c>
      <c r="L170" s="4">
        <v>4.9000000000000004</v>
      </c>
      <c r="M170">
        <v>739831.73</v>
      </c>
      <c r="N170">
        <v>119490.21</v>
      </c>
      <c r="O170">
        <f t="shared" si="12"/>
        <v>0</v>
      </c>
      <c r="P170">
        <f t="shared" si="13"/>
        <v>0</v>
      </c>
      <c r="Q170">
        <f t="shared" si="14"/>
        <v>0</v>
      </c>
      <c r="R170">
        <f t="shared" si="15"/>
        <v>0</v>
      </c>
      <c r="S170">
        <f t="shared" si="16"/>
        <v>0</v>
      </c>
      <c r="T170">
        <f t="shared" si="17"/>
        <v>1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>
        <v>0</v>
      </c>
      <c r="L171" s="4">
        <v>5</v>
      </c>
      <c r="M171">
        <v>593637.14</v>
      </c>
      <c r="N171">
        <v>106648.14</v>
      </c>
      <c r="O171">
        <f t="shared" si="12"/>
        <v>0</v>
      </c>
      <c r="P171">
        <f t="shared" si="13"/>
        <v>0</v>
      </c>
      <c r="Q171">
        <f t="shared" si="14"/>
        <v>0</v>
      </c>
      <c r="R171">
        <f t="shared" si="15"/>
        <v>0</v>
      </c>
      <c r="S171">
        <f t="shared" si="16"/>
        <v>0</v>
      </c>
      <c r="T171">
        <f t="shared" si="17"/>
        <v>1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>
        <v>0</v>
      </c>
      <c r="L172" s="4">
        <v>4.9000000000000004</v>
      </c>
      <c r="M172">
        <v>769702.76</v>
      </c>
      <c r="N172">
        <v>158697</v>
      </c>
      <c r="O172">
        <f t="shared" si="12"/>
        <v>0</v>
      </c>
      <c r="P172">
        <f t="shared" si="13"/>
        <v>0</v>
      </c>
      <c r="Q172">
        <f t="shared" si="14"/>
        <v>0</v>
      </c>
      <c r="R172">
        <f t="shared" si="15"/>
        <v>0</v>
      </c>
      <c r="S172">
        <f t="shared" si="16"/>
        <v>0</v>
      </c>
      <c r="T172">
        <f t="shared" si="17"/>
        <v>1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>
        <v>0</v>
      </c>
      <c r="L173" s="4">
        <v>4.4000000000000004</v>
      </c>
      <c r="M173">
        <v>679731.57</v>
      </c>
      <c r="N173">
        <v>121546.42</v>
      </c>
      <c r="O173">
        <f t="shared" si="12"/>
        <v>0</v>
      </c>
      <c r="P173">
        <f t="shared" si="13"/>
        <v>0</v>
      </c>
      <c r="Q173">
        <f t="shared" si="14"/>
        <v>0</v>
      </c>
      <c r="R173">
        <f t="shared" si="15"/>
        <v>0</v>
      </c>
      <c r="S173">
        <f t="shared" si="16"/>
        <v>0</v>
      </c>
      <c r="T173">
        <f t="shared" si="17"/>
        <v>1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>
        <v>0</v>
      </c>
      <c r="L174" s="4">
        <v>3.3</v>
      </c>
      <c r="M174">
        <v>780344.18</v>
      </c>
      <c r="N174">
        <v>118239.09</v>
      </c>
      <c r="O174">
        <f t="shared" si="12"/>
        <v>0</v>
      </c>
      <c r="P174">
        <f t="shared" si="13"/>
        <v>0</v>
      </c>
      <c r="Q174">
        <f t="shared" si="14"/>
        <v>0</v>
      </c>
      <c r="R174">
        <f t="shared" si="15"/>
        <v>0</v>
      </c>
      <c r="S174">
        <f t="shared" si="16"/>
        <v>0</v>
      </c>
      <c r="T174">
        <f t="shared" si="17"/>
        <v>1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>
        <v>0</v>
      </c>
      <c r="L175" s="4">
        <v>3.1</v>
      </c>
      <c r="M175">
        <v>721364.11</v>
      </c>
      <c r="N175">
        <v>147272.81</v>
      </c>
      <c r="O175">
        <f t="shared" si="12"/>
        <v>0</v>
      </c>
      <c r="P175">
        <f t="shared" si="13"/>
        <v>0</v>
      </c>
      <c r="Q175">
        <f t="shared" si="14"/>
        <v>0</v>
      </c>
      <c r="R175">
        <f t="shared" si="15"/>
        <v>0</v>
      </c>
      <c r="S175">
        <f t="shared" si="16"/>
        <v>0</v>
      </c>
      <c r="T175">
        <f t="shared" si="17"/>
        <v>1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>
        <v>0</v>
      </c>
      <c r="L176" s="4">
        <v>3.6</v>
      </c>
      <c r="M176">
        <v>758138.29</v>
      </c>
      <c r="N176">
        <v>132975.26</v>
      </c>
      <c r="O176">
        <f t="shared" si="12"/>
        <v>0</v>
      </c>
      <c r="P176">
        <f t="shared" si="13"/>
        <v>0</v>
      </c>
      <c r="Q176">
        <f t="shared" si="14"/>
        <v>0</v>
      </c>
      <c r="R176">
        <f t="shared" si="15"/>
        <v>0</v>
      </c>
      <c r="S176">
        <f t="shared" si="16"/>
        <v>0</v>
      </c>
      <c r="T176">
        <f t="shared" si="17"/>
        <v>1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>
        <v>0</v>
      </c>
      <c r="L177" s="4">
        <v>3.1</v>
      </c>
      <c r="M177">
        <v>804264</v>
      </c>
      <c r="N177">
        <v>167117.91</v>
      </c>
      <c r="O177">
        <f t="shared" si="12"/>
        <v>0</v>
      </c>
      <c r="P177">
        <f t="shared" si="13"/>
        <v>0</v>
      </c>
      <c r="Q177">
        <f t="shared" si="14"/>
        <v>0</v>
      </c>
      <c r="R177">
        <f t="shared" si="15"/>
        <v>0</v>
      </c>
      <c r="S177">
        <f t="shared" si="16"/>
        <v>0</v>
      </c>
      <c r="T177">
        <f t="shared" si="17"/>
        <v>1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>
        <v>1</v>
      </c>
      <c r="L178" s="4">
        <v>3.7</v>
      </c>
      <c r="M178">
        <v>887537.75</v>
      </c>
      <c r="N178">
        <v>160362.92000000001</v>
      </c>
      <c r="O178">
        <f t="shared" si="12"/>
        <v>0</v>
      </c>
      <c r="P178">
        <f t="shared" si="13"/>
        <v>0</v>
      </c>
      <c r="Q178">
        <f t="shared" si="14"/>
        <v>1</v>
      </c>
      <c r="R178">
        <f t="shared" si="15"/>
        <v>1</v>
      </c>
      <c r="S178">
        <f t="shared" si="16"/>
        <v>0</v>
      </c>
      <c r="T178">
        <f t="shared" si="17"/>
        <v>0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>
        <v>0</v>
      </c>
      <c r="L179" s="4">
        <v>4</v>
      </c>
      <c r="M179">
        <v>783582</v>
      </c>
      <c r="N179">
        <v>130670.93</v>
      </c>
      <c r="O179">
        <f t="shared" si="12"/>
        <v>0</v>
      </c>
      <c r="P179">
        <f t="shared" si="13"/>
        <v>0</v>
      </c>
      <c r="Q179">
        <f t="shared" si="14"/>
        <v>1</v>
      </c>
      <c r="R179">
        <f t="shared" si="15"/>
        <v>1</v>
      </c>
      <c r="S179">
        <f t="shared" si="16"/>
        <v>0</v>
      </c>
      <c r="T179">
        <f t="shared" si="17"/>
        <v>0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>
        <v>0</v>
      </c>
      <c r="L180" s="4">
        <v>4.0999999999999996</v>
      </c>
      <c r="M180">
        <v>781955.52</v>
      </c>
      <c r="N180">
        <v>152578.71</v>
      </c>
      <c r="O180">
        <f t="shared" si="12"/>
        <v>0</v>
      </c>
      <c r="P180">
        <f t="shared" si="13"/>
        <v>0</v>
      </c>
      <c r="Q180">
        <f t="shared" si="14"/>
        <v>1</v>
      </c>
      <c r="R180">
        <f t="shared" si="15"/>
        <v>1</v>
      </c>
      <c r="S180">
        <f t="shared" si="16"/>
        <v>0</v>
      </c>
      <c r="T180">
        <f t="shared" si="17"/>
        <v>0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>
        <v>0</v>
      </c>
      <c r="L181" s="4">
        <v>4.0999999999999996</v>
      </c>
      <c r="M181">
        <v>898031.04</v>
      </c>
      <c r="N181">
        <v>138666.5</v>
      </c>
      <c r="O181">
        <f t="shared" si="12"/>
        <v>0</v>
      </c>
      <c r="P181">
        <f t="shared" si="13"/>
        <v>0</v>
      </c>
      <c r="Q181">
        <f t="shared" si="14"/>
        <v>1</v>
      </c>
      <c r="R181">
        <f t="shared" si="15"/>
        <v>1</v>
      </c>
      <c r="S181">
        <f t="shared" si="16"/>
        <v>0</v>
      </c>
      <c r="T181">
        <f t="shared" si="17"/>
        <v>0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>
        <v>1</v>
      </c>
      <c r="L182" s="4">
        <v>3.9</v>
      </c>
      <c r="M182">
        <v>855341.28</v>
      </c>
      <c r="N182">
        <v>175823.8</v>
      </c>
      <c r="O182">
        <f t="shared" si="12"/>
        <v>0</v>
      </c>
      <c r="P182">
        <f t="shared" si="13"/>
        <v>0</v>
      </c>
      <c r="Q182">
        <f t="shared" si="14"/>
        <v>1</v>
      </c>
      <c r="R182">
        <f t="shared" si="15"/>
        <v>0</v>
      </c>
      <c r="S182">
        <f t="shared" si="16"/>
        <v>0</v>
      </c>
      <c r="T182">
        <f t="shared" si="17"/>
        <v>1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>
        <v>0</v>
      </c>
      <c r="L183" s="4">
        <v>3.6</v>
      </c>
      <c r="M183">
        <v>751393.88</v>
      </c>
      <c r="N183">
        <v>91480.320000000007</v>
      </c>
      <c r="O183">
        <f t="shared" si="12"/>
        <v>0</v>
      </c>
      <c r="P183">
        <f t="shared" si="13"/>
        <v>0</v>
      </c>
      <c r="Q183">
        <f t="shared" si="14"/>
        <v>1</v>
      </c>
      <c r="R183">
        <f t="shared" si="15"/>
        <v>0</v>
      </c>
      <c r="S183">
        <f t="shared" si="16"/>
        <v>0</v>
      </c>
      <c r="T183">
        <f t="shared" si="17"/>
        <v>1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>
        <v>1</v>
      </c>
      <c r="L184" s="4">
        <v>3.8</v>
      </c>
      <c r="M184">
        <v>761077.08</v>
      </c>
      <c r="N184">
        <v>113605.93</v>
      </c>
      <c r="O184">
        <f t="shared" si="12"/>
        <v>0</v>
      </c>
      <c r="P184">
        <f t="shared" si="13"/>
        <v>0</v>
      </c>
      <c r="Q184">
        <f t="shared" si="14"/>
        <v>1</v>
      </c>
      <c r="R184">
        <f t="shared" si="15"/>
        <v>0</v>
      </c>
      <c r="S184">
        <f t="shared" si="16"/>
        <v>0</v>
      </c>
      <c r="T184">
        <f t="shared" si="17"/>
        <v>1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>
        <v>0</v>
      </c>
      <c r="L185" s="4">
        <v>3.1</v>
      </c>
      <c r="M185">
        <v>819660.59</v>
      </c>
      <c r="N185">
        <v>172699.95</v>
      </c>
      <c r="O185">
        <f t="shared" si="12"/>
        <v>0</v>
      </c>
      <c r="P185">
        <f t="shared" si="13"/>
        <v>0</v>
      </c>
      <c r="Q185">
        <f t="shared" si="14"/>
        <v>1</v>
      </c>
      <c r="R185">
        <f t="shared" si="15"/>
        <v>0</v>
      </c>
      <c r="S185">
        <f t="shared" si="16"/>
        <v>0</v>
      </c>
      <c r="T185">
        <f t="shared" si="17"/>
        <v>1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>
        <v>0</v>
      </c>
      <c r="L186" s="4">
        <v>4.4000000000000004</v>
      </c>
      <c r="M186">
        <v>681855.56</v>
      </c>
      <c r="N186">
        <v>117645.61</v>
      </c>
      <c r="O186">
        <f t="shared" si="12"/>
        <v>1</v>
      </c>
      <c r="P186">
        <f t="shared" si="13"/>
        <v>0</v>
      </c>
      <c r="Q186">
        <f t="shared" si="14"/>
        <v>0</v>
      </c>
      <c r="R186">
        <f t="shared" si="15"/>
        <v>0</v>
      </c>
      <c r="S186">
        <f t="shared" si="16"/>
        <v>0</v>
      </c>
      <c r="T186">
        <f t="shared" si="17"/>
        <v>0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>
        <v>0</v>
      </c>
      <c r="L187" s="4">
        <v>4.4000000000000004</v>
      </c>
      <c r="M187">
        <v>678311.17</v>
      </c>
      <c r="N187">
        <v>132029.76000000001</v>
      </c>
      <c r="O187">
        <f t="shared" si="12"/>
        <v>1</v>
      </c>
      <c r="P187">
        <f t="shared" si="13"/>
        <v>0</v>
      </c>
      <c r="Q187">
        <f t="shared" si="14"/>
        <v>0</v>
      </c>
      <c r="R187">
        <f t="shared" si="15"/>
        <v>0</v>
      </c>
      <c r="S187">
        <f t="shared" si="16"/>
        <v>0</v>
      </c>
      <c r="T187">
        <f t="shared" si="17"/>
        <v>0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>
        <v>1</v>
      </c>
      <c r="L188" s="4">
        <v>4.3</v>
      </c>
      <c r="M188">
        <v>765906.95</v>
      </c>
      <c r="N188">
        <v>114005.9</v>
      </c>
      <c r="O188">
        <f t="shared" si="12"/>
        <v>1</v>
      </c>
      <c r="P188">
        <f t="shared" si="13"/>
        <v>0</v>
      </c>
      <c r="Q188">
        <f t="shared" si="14"/>
        <v>0</v>
      </c>
      <c r="R188">
        <f t="shared" si="15"/>
        <v>0</v>
      </c>
      <c r="S188">
        <f t="shared" si="16"/>
        <v>0</v>
      </c>
      <c r="T188">
        <f t="shared" si="17"/>
        <v>0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>
        <v>0</v>
      </c>
      <c r="L189" s="4">
        <v>4.2</v>
      </c>
      <c r="M189">
        <v>712546.38</v>
      </c>
      <c r="N189">
        <v>101480.04</v>
      </c>
      <c r="O189">
        <f t="shared" si="12"/>
        <v>1</v>
      </c>
      <c r="P189">
        <f t="shared" si="13"/>
        <v>0</v>
      </c>
      <c r="Q189">
        <f t="shared" si="14"/>
        <v>0</v>
      </c>
      <c r="R189">
        <f t="shared" si="15"/>
        <v>0</v>
      </c>
      <c r="S189">
        <f t="shared" si="16"/>
        <v>0</v>
      </c>
      <c r="T189">
        <f t="shared" si="17"/>
        <v>0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>
        <v>0</v>
      </c>
      <c r="L190" s="4">
        <v>4.0999999999999996</v>
      </c>
      <c r="M190">
        <v>625993.82999999996</v>
      </c>
      <c r="N190">
        <v>98960.320000000007</v>
      </c>
      <c r="O190">
        <f t="shared" si="12"/>
        <v>0</v>
      </c>
      <c r="P190">
        <f t="shared" si="13"/>
        <v>0</v>
      </c>
      <c r="Q190">
        <f t="shared" si="14"/>
        <v>0</v>
      </c>
      <c r="R190">
        <f t="shared" si="15"/>
        <v>0</v>
      </c>
      <c r="S190">
        <f t="shared" si="16"/>
        <v>0</v>
      </c>
      <c r="T190">
        <f t="shared" si="17"/>
        <v>0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>
        <v>0</v>
      </c>
      <c r="L191" s="4">
        <v>3.8</v>
      </c>
      <c r="M191">
        <v>550962.93000000005</v>
      </c>
      <c r="N191">
        <v>97144.58</v>
      </c>
      <c r="O191">
        <f t="shared" si="12"/>
        <v>0</v>
      </c>
      <c r="P191">
        <f t="shared" si="13"/>
        <v>0</v>
      </c>
      <c r="Q191">
        <f t="shared" si="14"/>
        <v>0</v>
      </c>
      <c r="R191">
        <f t="shared" si="15"/>
        <v>0</v>
      </c>
      <c r="S191">
        <f t="shared" si="16"/>
        <v>0</v>
      </c>
      <c r="T191">
        <f t="shared" si="17"/>
        <v>0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>
        <v>0</v>
      </c>
      <c r="L192" s="4">
        <v>3.8</v>
      </c>
      <c r="M192">
        <v>443275.59</v>
      </c>
      <c r="N192">
        <v>53544.36</v>
      </c>
      <c r="O192">
        <f t="shared" si="12"/>
        <v>0</v>
      </c>
      <c r="P192">
        <f t="shared" si="13"/>
        <v>0</v>
      </c>
      <c r="Q192">
        <f t="shared" si="14"/>
        <v>0</v>
      </c>
      <c r="R192">
        <f t="shared" si="15"/>
        <v>0</v>
      </c>
      <c r="S192">
        <f t="shared" si="16"/>
        <v>0</v>
      </c>
      <c r="T192">
        <f t="shared" si="17"/>
        <v>0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>
        <v>0</v>
      </c>
      <c r="L193" s="4">
        <v>4.4000000000000004</v>
      </c>
      <c r="M193">
        <v>554012.06999999995</v>
      </c>
      <c r="N193">
        <v>81101.62</v>
      </c>
      <c r="O193">
        <f t="shared" si="12"/>
        <v>0</v>
      </c>
      <c r="P193">
        <f t="shared" si="13"/>
        <v>0</v>
      </c>
      <c r="Q193">
        <f t="shared" si="14"/>
        <v>0</v>
      </c>
      <c r="R193">
        <f t="shared" si="15"/>
        <v>0</v>
      </c>
      <c r="S193">
        <f t="shared" si="16"/>
        <v>0</v>
      </c>
      <c r="T193">
        <f t="shared" si="17"/>
        <v>0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>
        <v>0</v>
      </c>
      <c r="L194" s="4">
        <v>3.2</v>
      </c>
      <c r="M194">
        <v>643428.85</v>
      </c>
      <c r="N194">
        <v>94477.63</v>
      </c>
      <c r="O194">
        <f t="shared" si="12"/>
        <v>0</v>
      </c>
      <c r="P194">
        <f t="shared" si="13"/>
        <v>0</v>
      </c>
      <c r="Q194">
        <f t="shared" si="14"/>
        <v>1</v>
      </c>
      <c r="R194">
        <f t="shared" si="15"/>
        <v>0</v>
      </c>
      <c r="S194">
        <f t="shared" si="16"/>
        <v>0</v>
      </c>
      <c r="T194">
        <f t="shared" si="17"/>
        <v>1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>
        <v>0</v>
      </c>
      <c r="L195" s="4">
        <v>3.2</v>
      </c>
      <c r="M195">
        <v>611924.27</v>
      </c>
      <c r="N195">
        <v>115488.75</v>
      </c>
      <c r="O195">
        <f t="shared" ref="O195:O258" si="18">IF(C195="North",1,0)</f>
        <v>0</v>
      </c>
      <c r="P195">
        <f t="shared" ref="P195:P258" si="19">IF(C195="South",1,0)</f>
        <v>0</v>
      </c>
      <c r="Q195">
        <f t="shared" ref="Q195:Q258" si="20">IF(C195="West",1,0)</f>
        <v>1</v>
      </c>
      <c r="R195">
        <f t="shared" ref="R195:R258" si="21">IF(D195="Airport",1,0)</f>
        <v>0</v>
      </c>
      <c r="S195">
        <f t="shared" ref="S195:S258" si="22">IF(D195="Mall",1,0)</f>
        <v>0</v>
      </c>
      <c r="T195">
        <f t="shared" ref="T195:T258" si="23">IF(D195="Residential",1,0)</f>
        <v>1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>
        <v>0</v>
      </c>
      <c r="L196" s="4">
        <v>3.7</v>
      </c>
      <c r="M196">
        <v>559422.02</v>
      </c>
      <c r="N196">
        <v>73528.740000000005</v>
      </c>
      <c r="O196">
        <f t="shared" si="18"/>
        <v>0</v>
      </c>
      <c r="P196">
        <f t="shared" si="19"/>
        <v>0</v>
      </c>
      <c r="Q196">
        <f t="shared" si="20"/>
        <v>1</v>
      </c>
      <c r="R196">
        <f t="shared" si="21"/>
        <v>0</v>
      </c>
      <c r="S196">
        <f t="shared" si="22"/>
        <v>0</v>
      </c>
      <c r="T196">
        <f t="shared" si="23"/>
        <v>1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>
        <v>0</v>
      </c>
      <c r="L197" s="4"/>
      <c r="M197">
        <v>449465.06</v>
      </c>
      <c r="N197">
        <v>65694.78</v>
      </c>
      <c r="O197">
        <f t="shared" si="18"/>
        <v>0</v>
      </c>
      <c r="P197">
        <f t="shared" si="19"/>
        <v>0</v>
      </c>
      <c r="Q197">
        <f t="shared" si="20"/>
        <v>1</v>
      </c>
      <c r="R197">
        <f t="shared" si="21"/>
        <v>0</v>
      </c>
      <c r="S197">
        <f t="shared" si="22"/>
        <v>0</v>
      </c>
      <c r="T197">
        <f t="shared" si="23"/>
        <v>1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>
        <v>0</v>
      </c>
      <c r="L198" s="4">
        <v>4.2</v>
      </c>
      <c r="M198">
        <v>691447.43</v>
      </c>
      <c r="N198">
        <v>114077.69</v>
      </c>
      <c r="O198">
        <f t="shared" si="18"/>
        <v>1</v>
      </c>
      <c r="P198">
        <f t="shared" si="19"/>
        <v>0</v>
      </c>
      <c r="Q198">
        <f t="shared" si="20"/>
        <v>0</v>
      </c>
      <c r="R198">
        <f t="shared" si="21"/>
        <v>0</v>
      </c>
      <c r="S198">
        <f t="shared" si="22"/>
        <v>0</v>
      </c>
      <c r="T198">
        <f t="shared" si="23"/>
        <v>1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>
        <v>0</v>
      </c>
      <c r="L199" s="4">
        <v>4.5999999999999996</v>
      </c>
      <c r="M199">
        <v>574066.61</v>
      </c>
      <c r="N199">
        <v>124674.67</v>
      </c>
      <c r="O199">
        <f t="shared" si="18"/>
        <v>1</v>
      </c>
      <c r="P199">
        <f t="shared" si="19"/>
        <v>0</v>
      </c>
      <c r="Q199">
        <f t="shared" si="20"/>
        <v>0</v>
      </c>
      <c r="R199">
        <f t="shared" si="21"/>
        <v>0</v>
      </c>
      <c r="S199">
        <f t="shared" si="22"/>
        <v>0</v>
      </c>
      <c r="T199">
        <f t="shared" si="23"/>
        <v>1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>
        <v>1</v>
      </c>
      <c r="L200" s="4">
        <v>4.3</v>
      </c>
      <c r="M200">
        <v>578949.84</v>
      </c>
      <c r="N200">
        <v>80253.649999999994</v>
      </c>
      <c r="O200">
        <f t="shared" si="18"/>
        <v>1</v>
      </c>
      <c r="P200">
        <f t="shared" si="19"/>
        <v>0</v>
      </c>
      <c r="Q200">
        <f t="shared" si="20"/>
        <v>0</v>
      </c>
      <c r="R200">
        <f t="shared" si="21"/>
        <v>0</v>
      </c>
      <c r="S200">
        <f t="shared" si="22"/>
        <v>0</v>
      </c>
      <c r="T200">
        <f t="shared" si="23"/>
        <v>1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>
        <v>0</v>
      </c>
      <c r="L201" s="4">
        <v>4.8</v>
      </c>
      <c r="M201">
        <v>735786.64</v>
      </c>
      <c r="N201">
        <v>126540.66</v>
      </c>
      <c r="O201">
        <f t="shared" si="18"/>
        <v>1</v>
      </c>
      <c r="P201">
        <f t="shared" si="19"/>
        <v>0</v>
      </c>
      <c r="Q201">
        <f t="shared" si="20"/>
        <v>0</v>
      </c>
      <c r="R201">
        <f t="shared" si="21"/>
        <v>0</v>
      </c>
      <c r="S201">
        <f t="shared" si="22"/>
        <v>0</v>
      </c>
      <c r="T201">
        <f t="shared" si="23"/>
        <v>1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>
        <v>1</v>
      </c>
      <c r="L202" s="4">
        <v>4.5999999999999996</v>
      </c>
      <c r="M202">
        <v>598904.9</v>
      </c>
      <c r="N202">
        <v>72861</v>
      </c>
      <c r="O202">
        <f t="shared" si="18"/>
        <v>0</v>
      </c>
      <c r="P202">
        <f t="shared" si="19"/>
        <v>0</v>
      </c>
      <c r="Q202">
        <f t="shared" si="20"/>
        <v>0</v>
      </c>
      <c r="R202">
        <f t="shared" si="21"/>
        <v>1</v>
      </c>
      <c r="S202">
        <f t="shared" si="22"/>
        <v>0</v>
      </c>
      <c r="T202">
        <f t="shared" si="23"/>
        <v>0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>
        <v>0</v>
      </c>
      <c r="L203" s="4">
        <v>4.8</v>
      </c>
      <c r="M203">
        <v>787715.51</v>
      </c>
      <c r="N203">
        <v>128969.62</v>
      </c>
      <c r="O203">
        <f t="shared" si="18"/>
        <v>0</v>
      </c>
      <c r="P203">
        <f t="shared" si="19"/>
        <v>0</v>
      </c>
      <c r="Q203">
        <f t="shared" si="20"/>
        <v>0</v>
      </c>
      <c r="R203">
        <f t="shared" si="21"/>
        <v>1</v>
      </c>
      <c r="S203">
        <f t="shared" si="22"/>
        <v>0</v>
      </c>
      <c r="T203">
        <f t="shared" si="23"/>
        <v>0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>
        <v>1</v>
      </c>
      <c r="L204" s="4">
        <v>5</v>
      </c>
      <c r="M204">
        <v>607084.92000000004</v>
      </c>
      <c r="N204">
        <v>98558.49</v>
      </c>
      <c r="O204">
        <f t="shared" si="18"/>
        <v>0</v>
      </c>
      <c r="P204">
        <f t="shared" si="19"/>
        <v>0</v>
      </c>
      <c r="Q204">
        <f t="shared" si="20"/>
        <v>0</v>
      </c>
      <c r="R204">
        <f t="shared" si="21"/>
        <v>1</v>
      </c>
      <c r="S204">
        <f t="shared" si="22"/>
        <v>0</v>
      </c>
      <c r="T204">
        <f t="shared" si="23"/>
        <v>0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>
        <v>0</v>
      </c>
      <c r="L205" s="4">
        <v>4</v>
      </c>
      <c r="M205">
        <v>650795.49</v>
      </c>
      <c r="N205">
        <v>103035.89</v>
      </c>
      <c r="O205">
        <f t="shared" si="18"/>
        <v>0</v>
      </c>
      <c r="P205">
        <f t="shared" si="19"/>
        <v>0</v>
      </c>
      <c r="Q205">
        <f t="shared" si="20"/>
        <v>0</v>
      </c>
      <c r="R205">
        <f t="shared" si="21"/>
        <v>1</v>
      </c>
      <c r="S205">
        <f t="shared" si="22"/>
        <v>0</v>
      </c>
      <c r="T205">
        <f t="shared" si="23"/>
        <v>0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>
        <v>0</v>
      </c>
      <c r="L206" s="4">
        <v>3.7</v>
      </c>
      <c r="M206">
        <v>825060.52</v>
      </c>
      <c r="N206">
        <v>143613.15</v>
      </c>
      <c r="O206">
        <f t="shared" si="18"/>
        <v>0</v>
      </c>
      <c r="P206">
        <f t="shared" si="19"/>
        <v>0</v>
      </c>
      <c r="Q206">
        <f t="shared" si="20"/>
        <v>0</v>
      </c>
      <c r="R206">
        <f t="shared" si="21"/>
        <v>0</v>
      </c>
      <c r="S206">
        <f t="shared" si="22"/>
        <v>1</v>
      </c>
      <c r="T206">
        <f t="shared" si="23"/>
        <v>0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>
        <v>0</v>
      </c>
      <c r="L207" s="4">
        <v>3.7</v>
      </c>
      <c r="M207">
        <v>795464.47</v>
      </c>
      <c r="N207">
        <v>161150.51999999999</v>
      </c>
      <c r="O207">
        <f t="shared" si="18"/>
        <v>0</v>
      </c>
      <c r="P207">
        <f t="shared" si="19"/>
        <v>0</v>
      </c>
      <c r="Q207">
        <f t="shared" si="20"/>
        <v>0</v>
      </c>
      <c r="R207">
        <f t="shared" si="21"/>
        <v>0</v>
      </c>
      <c r="S207">
        <f t="shared" si="22"/>
        <v>1</v>
      </c>
      <c r="T207">
        <f t="shared" si="23"/>
        <v>0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>
        <v>0</v>
      </c>
      <c r="L208" s="4">
        <v>3.7</v>
      </c>
      <c r="M208">
        <v>671868.59</v>
      </c>
      <c r="N208">
        <v>71003.28</v>
      </c>
      <c r="O208">
        <f t="shared" si="18"/>
        <v>0</v>
      </c>
      <c r="P208">
        <f t="shared" si="19"/>
        <v>0</v>
      </c>
      <c r="Q208">
        <f t="shared" si="20"/>
        <v>0</v>
      </c>
      <c r="R208">
        <f t="shared" si="21"/>
        <v>0</v>
      </c>
      <c r="S208">
        <f t="shared" si="22"/>
        <v>1</v>
      </c>
      <c r="T208">
        <f t="shared" si="23"/>
        <v>0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>
        <v>0</v>
      </c>
      <c r="L209" s="4">
        <v>3.7</v>
      </c>
      <c r="M209">
        <v>675917.63</v>
      </c>
      <c r="N209">
        <v>112564.75</v>
      </c>
      <c r="O209">
        <f t="shared" si="18"/>
        <v>0</v>
      </c>
      <c r="P209">
        <f t="shared" si="19"/>
        <v>0</v>
      </c>
      <c r="Q209">
        <f t="shared" si="20"/>
        <v>0</v>
      </c>
      <c r="R209">
        <f t="shared" si="21"/>
        <v>0</v>
      </c>
      <c r="S209">
        <f t="shared" si="22"/>
        <v>1</v>
      </c>
      <c r="T209">
        <f t="shared" si="23"/>
        <v>0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>
        <v>1</v>
      </c>
      <c r="L210" s="4">
        <v>3.7</v>
      </c>
      <c r="M210">
        <v>810446.53</v>
      </c>
      <c r="N210">
        <v>200575.34</v>
      </c>
      <c r="O210">
        <f t="shared" si="18"/>
        <v>0</v>
      </c>
      <c r="P210">
        <f t="shared" si="19"/>
        <v>0</v>
      </c>
      <c r="Q210">
        <f t="shared" si="20"/>
        <v>0</v>
      </c>
      <c r="R210">
        <f t="shared" si="21"/>
        <v>0</v>
      </c>
      <c r="S210">
        <f t="shared" si="22"/>
        <v>0</v>
      </c>
      <c r="T210">
        <f t="shared" si="23"/>
        <v>0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>
        <v>0</v>
      </c>
      <c r="L211" s="4">
        <v>3.3</v>
      </c>
      <c r="M211">
        <v>691288.19</v>
      </c>
      <c r="N211">
        <v>159074.14000000001</v>
      </c>
      <c r="O211">
        <f t="shared" si="18"/>
        <v>0</v>
      </c>
      <c r="P211">
        <f t="shared" si="19"/>
        <v>0</v>
      </c>
      <c r="Q211">
        <f t="shared" si="20"/>
        <v>0</v>
      </c>
      <c r="R211">
        <f t="shared" si="21"/>
        <v>0</v>
      </c>
      <c r="S211">
        <f t="shared" si="22"/>
        <v>0</v>
      </c>
      <c r="T211">
        <f t="shared" si="23"/>
        <v>0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>
        <v>1</v>
      </c>
      <c r="L212" s="4">
        <v>3.7</v>
      </c>
      <c r="M212">
        <v>946833.54</v>
      </c>
      <c r="N212">
        <v>184540.31</v>
      </c>
      <c r="O212">
        <f t="shared" si="18"/>
        <v>0</v>
      </c>
      <c r="P212">
        <f t="shared" si="19"/>
        <v>0</v>
      </c>
      <c r="Q212">
        <f t="shared" si="20"/>
        <v>0</v>
      </c>
      <c r="R212">
        <f t="shared" si="21"/>
        <v>0</v>
      </c>
      <c r="S212">
        <f t="shared" si="22"/>
        <v>0</v>
      </c>
      <c r="T212">
        <f t="shared" si="23"/>
        <v>0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>
        <v>0</v>
      </c>
      <c r="L213" s="4">
        <v>4.0999999999999996</v>
      </c>
      <c r="M213">
        <v>761963.23</v>
      </c>
      <c r="N213">
        <v>150113.60999999999</v>
      </c>
      <c r="O213">
        <f t="shared" si="18"/>
        <v>0</v>
      </c>
      <c r="P213">
        <f t="shared" si="19"/>
        <v>0</v>
      </c>
      <c r="Q213">
        <f t="shared" si="20"/>
        <v>0</v>
      </c>
      <c r="R213">
        <f t="shared" si="21"/>
        <v>0</v>
      </c>
      <c r="S213">
        <f t="shared" si="22"/>
        <v>0</v>
      </c>
      <c r="T213">
        <f t="shared" si="23"/>
        <v>0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>
        <v>0</v>
      </c>
      <c r="L214" s="4">
        <v>4.3</v>
      </c>
      <c r="M214">
        <v>812152.6</v>
      </c>
      <c r="N214">
        <v>138419.43</v>
      </c>
      <c r="O214">
        <f t="shared" si="18"/>
        <v>0</v>
      </c>
      <c r="P214">
        <f t="shared" si="19"/>
        <v>0</v>
      </c>
      <c r="Q214">
        <f t="shared" si="20"/>
        <v>1</v>
      </c>
      <c r="R214">
        <f t="shared" si="21"/>
        <v>0</v>
      </c>
      <c r="S214">
        <f t="shared" si="22"/>
        <v>0</v>
      </c>
      <c r="T214">
        <f t="shared" si="23"/>
        <v>1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>
        <v>0</v>
      </c>
      <c r="L215" s="4">
        <v>4.2</v>
      </c>
      <c r="M215">
        <v>804975.5</v>
      </c>
      <c r="N215">
        <v>140054.5</v>
      </c>
      <c r="O215">
        <f t="shared" si="18"/>
        <v>0</v>
      </c>
      <c r="P215">
        <f t="shared" si="19"/>
        <v>0</v>
      </c>
      <c r="Q215">
        <f t="shared" si="20"/>
        <v>1</v>
      </c>
      <c r="R215">
        <f t="shared" si="21"/>
        <v>0</v>
      </c>
      <c r="S215">
        <f t="shared" si="22"/>
        <v>0</v>
      </c>
      <c r="T215">
        <f t="shared" si="23"/>
        <v>1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>
        <v>0</v>
      </c>
      <c r="L216" s="4">
        <v>4.7</v>
      </c>
      <c r="M216">
        <v>752321.72</v>
      </c>
      <c r="N216">
        <v>137788.51</v>
      </c>
      <c r="O216">
        <f t="shared" si="18"/>
        <v>0</v>
      </c>
      <c r="P216">
        <f t="shared" si="19"/>
        <v>0</v>
      </c>
      <c r="Q216">
        <f t="shared" si="20"/>
        <v>1</v>
      </c>
      <c r="R216">
        <f t="shared" si="21"/>
        <v>0</v>
      </c>
      <c r="S216">
        <f t="shared" si="22"/>
        <v>0</v>
      </c>
      <c r="T216">
        <f t="shared" si="23"/>
        <v>1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>
        <v>0</v>
      </c>
      <c r="L217" s="4">
        <v>4.9000000000000004</v>
      </c>
      <c r="M217">
        <v>836908.24</v>
      </c>
      <c r="N217">
        <v>141090.26</v>
      </c>
      <c r="O217">
        <f t="shared" si="18"/>
        <v>0</v>
      </c>
      <c r="P217">
        <f t="shared" si="19"/>
        <v>0</v>
      </c>
      <c r="Q217">
        <f t="shared" si="20"/>
        <v>1</v>
      </c>
      <c r="R217">
        <f t="shared" si="21"/>
        <v>0</v>
      </c>
      <c r="S217">
        <f t="shared" si="22"/>
        <v>0</v>
      </c>
      <c r="T217">
        <f t="shared" si="23"/>
        <v>1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>
        <v>0</v>
      </c>
      <c r="L218" s="4">
        <v>3.3</v>
      </c>
      <c r="M218">
        <v>674289.1</v>
      </c>
      <c r="N218">
        <v>117773.79</v>
      </c>
      <c r="O218">
        <f t="shared" si="18"/>
        <v>1</v>
      </c>
      <c r="P218">
        <f t="shared" si="19"/>
        <v>0</v>
      </c>
      <c r="Q218">
        <f t="shared" si="20"/>
        <v>0</v>
      </c>
      <c r="R218">
        <f t="shared" si="21"/>
        <v>1</v>
      </c>
      <c r="S218">
        <f t="shared" si="22"/>
        <v>0</v>
      </c>
      <c r="T218">
        <f t="shared" si="23"/>
        <v>0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>
        <v>0</v>
      </c>
      <c r="L219" s="4">
        <v>3.9</v>
      </c>
      <c r="M219">
        <v>622892.42000000004</v>
      </c>
      <c r="N219">
        <v>101032.52</v>
      </c>
      <c r="O219">
        <f t="shared" si="18"/>
        <v>1</v>
      </c>
      <c r="P219">
        <f t="shared" si="19"/>
        <v>0</v>
      </c>
      <c r="Q219">
        <f t="shared" si="20"/>
        <v>0</v>
      </c>
      <c r="R219">
        <f t="shared" si="21"/>
        <v>1</v>
      </c>
      <c r="S219">
        <f t="shared" si="22"/>
        <v>0</v>
      </c>
      <c r="T219">
        <f t="shared" si="23"/>
        <v>0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>
        <v>0</v>
      </c>
      <c r="L220" s="4">
        <v>3.7</v>
      </c>
      <c r="M220">
        <v>673348.56</v>
      </c>
      <c r="N220">
        <v>69464.59</v>
      </c>
      <c r="O220">
        <f t="shared" si="18"/>
        <v>1</v>
      </c>
      <c r="P220">
        <f t="shared" si="19"/>
        <v>0</v>
      </c>
      <c r="Q220">
        <f t="shared" si="20"/>
        <v>0</v>
      </c>
      <c r="R220">
        <f t="shared" si="21"/>
        <v>1</v>
      </c>
      <c r="S220">
        <f t="shared" si="22"/>
        <v>0</v>
      </c>
      <c r="T220">
        <f t="shared" si="23"/>
        <v>0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>
        <v>0</v>
      </c>
      <c r="L221" s="4">
        <v>3.9</v>
      </c>
      <c r="M221">
        <v>606278.30000000005</v>
      </c>
      <c r="N221">
        <v>102213.26</v>
      </c>
      <c r="O221">
        <f t="shared" si="18"/>
        <v>1</v>
      </c>
      <c r="P221">
        <f t="shared" si="19"/>
        <v>0</v>
      </c>
      <c r="Q221">
        <f t="shared" si="20"/>
        <v>0</v>
      </c>
      <c r="R221">
        <f t="shared" si="21"/>
        <v>1</v>
      </c>
      <c r="S221">
        <f t="shared" si="22"/>
        <v>0</v>
      </c>
      <c r="T221">
        <f t="shared" si="23"/>
        <v>0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>
        <v>1</v>
      </c>
      <c r="L222" s="4">
        <v>3.8</v>
      </c>
      <c r="M222">
        <v>712219.81</v>
      </c>
      <c r="N222">
        <v>85906.54</v>
      </c>
      <c r="O222">
        <f t="shared" si="18"/>
        <v>0</v>
      </c>
      <c r="P222">
        <f t="shared" si="19"/>
        <v>0</v>
      </c>
      <c r="Q222">
        <f t="shared" si="20"/>
        <v>0</v>
      </c>
      <c r="R222">
        <f t="shared" si="21"/>
        <v>0</v>
      </c>
      <c r="S222">
        <f t="shared" si="22"/>
        <v>0</v>
      </c>
      <c r="T222">
        <f t="shared" si="23"/>
        <v>0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>
        <v>0</v>
      </c>
      <c r="L223" s="4">
        <v>3.4</v>
      </c>
      <c r="M223">
        <v>672670.54</v>
      </c>
      <c r="N223">
        <v>132684.18</v>
      </c>
      <c r="O223">
        <f t="shared" si="18"/>
        <v>0</v>
      </c>
      <c r="P223">
        <f t="shared" si="19"/>
        <v>0</v>
      </c>
      <c r="Q223">
        <f t="shared" si="20"/>
        <v>0</v>
      </c>
      <c r="R223">
        <f t="shared" si="21"/>
        <v>0</v>
      </c>
      <c r="S223">
        <f t="shared" si="22"/>
        <v>0</v>
      </c>
      <c r="T223">
        <f t="shared" si="23"/>
        <v>0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>
        <v>0</v>
      </c>
      <c r="L224" s="4">
        <v>3.3</v>
      </c>
      <c r="M224">
        <v>732667.92</v>
      </c>
      <c r="N224">
        <v>128654.46</v>
      </c>
      <c r="O224">
        <f t="shared" si="18"/>
        <v>0</v>
      </c>
      <c r="P224">
        <f t="shared" si="19"/>
        <v>0</v>
      </c>
      <c r="Q224">
        <f t="shared" si="20"/>
        <v>0</v>
      </c>
      <c r="R224">
        <f t="shared" si="21"/>
        <v>0</v>
      </c>
      <c r="S224">
        <f t="shared" si="22"/>
        <v>0</v>
      </c>
      <c r="T224">
        <f t="shared" si="23"/>
        <v>0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>
        <v>0</v>
      </c>
      <c r="L225" s="4">
        <v>3.6</v>
      </c>
      <c r="M225">
        <v>723531.4</v>
      </c>
      <c r="N225">
        <v>108794.85</v>
      </c>
      <c r="O225">
        <f t="shared" si="18"/>
        <v>0</v>
      </c>
      <c r="P225">
        <f t="shared" si="19"/>
        <v>0</v>
      </c>
      <c r="Q225">
        <f t="shared" si="20"/>
        <v>0</v>
      </c>
      <c r="R225">
        <f t="shared" si="21"/>
        <v>0</v>
      </c>
      <c r="S225">
        <f t="shared" si="22"/>
        <v>0</v>
      </c>
      <c r="T225">
        <f t="shared" si="23"/>
        <v>0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>
        <v>1</v>
      </c>
      <c r="L226" s="4">
        <v>3</v>
      </c>
      <c r="M226">
        <v>641564.6</v>
      </c>
      <c r="N226">
        <v>90468.96</v>
      </c>
      <c r="O226">
        <f t="shared" si="18"/>
        <v>0</v>
      </c>
      <c r="P226">
        <f t="shared" si="19"/>
        <v>0</v>
      </c>
      <c r="Q226">
        <f t="shared" si="20"/>
        <v>0</v>
      </c>
      <c r="R226">
        <f t="shared" si="21"/>
        <v>0</v>
      </c>
      <c r="S226">
        <f t="shared" si="22"/>
        <v>1</v>
      </c>
      <c r="T226">
        <f t="shared" si="23"/>
        <v>0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>
        <v>0</v>
      </c>
      <c r="L227" s="4">
        <v>3.4</v>
      </c>
      <c r="M227">
        <v>536545.49</v>
      </c>
      <c r="N227">
        <v>97917.45</v>
      </c>
      <c r="O227">
        <f t="shared" si="18"/>
        <v>0</v>
      </c>
      <c r="P227">
        <f t="shared" si="19"/>
        <v>0</v>
      </c>
      <c r="Q227">
        <f t="shared" si="20"/>
        <v>0</v>
      </c>
      <c r="R227">
        <f t="shared" si="21"/>
        <v>0</v>
      </c>
      <c r="S227">
        <f t="shared" si="22"/>
        <v>1</v>
      </c>
      <c r="T227">
        <f t="shared" si="23"/>
        <v>0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>
        <v>0</v>
      </c>
      <c r="L228" s="4">
        <v>3.3</v>
      </c>
      <c r="M228">
        <v>527681.56000000006</v>
      </c>
      <c r="N228">
        <v>63153.05</v>
      </c>
      <c r="O228">
        <f t="shared" si="18"/>
        <v>0</v>
      </c>
      <c r="P228">
        <f t="shared" si="19"/>
        <v>0</v>
      </c>
      <c r="Q228">
        <f t="shared" si="20"/>
        <v>0</v>
      </c>
      <c r="R228">
        <f t="shared" si="21"/>
        <v>0</v>
      </c>
      <c r="S228">
        <f t="shared" si="22"/>
        <v>1</v>
      </c>
      <c r="T228">
        <f t="shared" si="23"/>
        <v>0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>
        <v>0</v>
      </c>
      <c r="L229" s="4"/>
      <c r="M229">
        <v>529598.93999999994</v>
      </c>
      <c r="N229">
        <v>84334.33</v>
      </c>
      <c r="O229">
        <f t="shared" si="18"/>
        <v>0</v>
      </c>
      <c r="P229">
        <f t="shared" si="19"/>
        <v>0</v>
      </c>
      <c r="Q229">
        <f t="shared" si="20"/>
        <v>0</v>
      </c>
      <c r="R229">
        <f t="shared" si="21"/>
        <v>0</v>
      </c>
      <c r="S229">
        <f t="shared" si="22"/>
        <v>1</v>
      </c>
      <c r="T229">
        <f t="shared" si="23"/>
        <v>0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>
        <v>0</v>
      </c>
      <c r="L230" s="4">
        <v>3.8</v>
      </c>
      <c r="M230">
        <v>570963.31000000006</v>
      </c>
      <c r="N230">
        <v>87342.25</v>
      </c>
      <c r="O230">
        <f t="shared" si="18"/>
        <v>0</v>
      </c>
      <c r="P230">
        <f t="shared" si="19"/>
        <v>0</v>
      </c>
      <c r="Q230">
        <f t="shared" si="20"/>
        <v>0</v>
      </c>
      <c r="R230">
        <f t="shared" si="21"/>
        <v>0</v>
      </c>
      <c r="S230">
        <f t="shared" si="22"/>
        <v>0</v>
      </c>
      <c r="T230">
        <f t="shared" si="23"/>
        <v>0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>
        <v>0</v>
      </c>
      <c r="L231" s="4">
        <v>4</v>
      </c>
      <c r="M231">
        <v>870937.4</v>
      </c>
      <c r="N231">
        <v>175282.74</v>
      </c>
      <c r="O231">
        <f t="shared" si="18"/>
        <v>0</v>
      </c>
      <c r="P231">
        <f t="shared" si="19"/>
        <v>0</v>
      </c>
      <c r="Q231">
        <f t="shared" si="20"/>
        <v>0</v>
      </c>
      <c r="R231">
        <f t="shared" si="21"/>
        <v>0</v>
      </c>
      <c r="S231">
        <f t="shared" si="22"/>
        <v>0</v>
      </c>
      <c r="T231">
        <f t="shared" si="23"/>
        <v>0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>
        <v>0</v>
      </c>
      <c r="L232" s="4">
        <v>3.9</v>
      </c>
      <c r="M232">
        <v>596969.27</v>
      </c>
      <c r="N232">
        <v>105669.51</v>
      </c>
      <c r="O232">
        <f t="shared" si="18"/>
        <v>0</v>
      </c>
      <c r="P232">
        <f t="shared" si="19"/>
        <v>0</v>
      </c>
      <c r="Q232">
        <f t="shared" si="20"/>
        <v>0</v>
      </c>
      <c r="R232">
        <f t="shared" si="21"/>
        <v>0</v>
      </c>
      <c r="S232">
        <f t="shared" si="22"/>
        <v>0</v>
      </c>
      <c r="T232">
        <f t="shared" si="23"/>
        <v>0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J233" s="4"/>
      <c r="K233">
        <v>0</v>
      </c>
      <c r="L233" s="4">
        <v>3.7</v>
      </c>
      <c r="M233">
        <v>647512.85</v>
      </c>
      <c r="N233">
        <v>153835.57</v>
      </c>
      <c r="O233">
        <f t="shared" si="18"/>
        <v>0</v>
      </c>
      <c r="P233">
        <f t="shared" si="19"/>
        <v>0</v>
      </c>
      <c r="Q233">
        <f t="shared" si="20"/>
        <v>0</v>
      </c>
      <c r="R233">
        <f t="shared" si="21"/>
        <v>0</v>
      </c>
      <c r="S233">
        <f t="shared" si="22"/>
        <v>0</v>
      </c>
      <c r="T233">
        <f t="shared" si="23"/>
        <v>0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>
        <v>0</v>
      </c>
      <c r="L234" s="4">
        <v>4.3</v>
      </c>
      <c r="M234">
        <v>658072.14</v>
      </c>
      <c r="N234">
        <v>110595.89</v>
      </c>
      <c r="O234">
        <f t="shared" si="18"/>
        <v>0</v>
      </c>
      <c r="P234">
        <f t="shared" si="19"/>
        <v>0</v>
      </c>
      <c r="Q234">
        <f t="shared" si="20"/>
        <v>1</v>
      </c>
      <c r="R234">
        <f t="shared" si="21"/>
        <v>0</v>
      </c>
      <c r="S234">
        <f t="shared" si="22"/>
        <v>0</v>
      </c>
      <c r="T234">
        <f t="shared" si="23"/>
        <v>1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>
        <v>0</v>
      </c>
      <c r="L235" s="4">
        <v>4</v>
      </c>
      <c r="M235">
        <v>723305.11</v>
      </c>
      <c r="N235">
        <v>128468.7</v>
      </c>
      <c r="O235">
        <f t="shared" si="18"/>
        <v>0</v>
      </c>
      <c r="P235">
        <f t="shared" si="19"/>
        <v>0</v>
      </c>
      <c r="Q235">
        <f t="shared" si="20"/>
        <v>1</v>
      </c>
      <c r="R235">
        <f t="shared" si="21"/>
        <v>0</v>
      </c>
      <c r="S235">
        <f t="shared" si="22"/>
        <v>0</v>
      </c>
      <c r="T235">
        <f t="shared" si="23"/>
        <v>1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>
        <v>0</v>
      </c>
      <c r="L236" s="4">
        <v>4.5</v>
      </c>
      <c r="M236">
        <v>640666.53</v>
      </c>
      <c r="N236">
        <v>134919.16</v>
      </c>
      <c r="O236">
        <f t="shared" si="18"/>
        <v>0</v>
      </c>
      <c r="P236">
        <f t="shared" si="19"/>
        <v>0</v>
      </c>
      <c r="Q236">
        <f t="shared" si="20"/>
        <v>1</v>
      </c>
      <c r="R236">
        <f t="shared" si="21"/>
        <v>0</v>
      </c>
      <c r="S236">
        <f t="shared" si="22"/>
        <v>0</v>
      </c>
      <c r="T236">
        <f t="shared" si="23"/>
        <v>1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>
        <v>0</v>
      </c>
      <c r="L237" s="4">
        <v>4.0999999999999996</v>
      </c>
      <c r="M237">
        <v>670629.48</v>
      </c>
      <c r="N237">
        <v>100140.8</v>
      </c>
      <c r="O237">
        <f t="shared" si="18"/>
        <v>0</v>
      </c>
      <c r="P237">
        <f t="shared" si="19"/>
        <v>0</v>
      </c>
      <c r="Q237">
        <f t="shared" si="20"/>
        <v>1</v>
      </c>
      <c r="R237">
        <f t="shared" si="21"/>
        <v>0</v>
      </c>
      <c r="S237">
        <f t="shared" si="22"/>
        <v>0</v>
      </c>
      <c r="T237">
        <f t="shared" si="23"/>
        <v>1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>
        <v>0</v>
      </c>
      <c r="L238" s="4">
        <v>3.7</v>
      </c>
      <c r="M238">
        <v>721079.35</v>
      </c>
      <c r="N238">
        <v>115295.05</v>
      </c>
      <c r="O238">
        <f t="shared" si="18"/>
        <v>0</v>
      </c>
      <c r="P238">
        <f t="shared" si="19"/>
        <v>0</v>
      </c>
      <c r="Q238">
        <f t="shared" si="20"/>
        <v>1</v>
      </c>
      <c r="R238">
        <f t="shared" si="21"/>
        <v>0</v>
      </c>
      <c r="S238">
        <f t="shared" si="22"/>
        <v>1</v>
      </c>
      <c r="T238">
        <f t="shared" si="23"/>
        <v>0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>
        <v>0</v>
      </c>
      <c r="L239" s="4">
        <v>3.4</v>
      </c>
      <c r="M239">
        <v>810355.02</v>
      </c>
      <c r="N239">
        <v>131510</v>
      </c>
      <c r="O239">
        <f t="shared" si="18"/>
        <v>0</v>
      </c>
      <c r="P239">
        <f t="shared" si="19"/>
        <v>0</v>
      </c>
      <c r="Q239">
        <f t="shared" si="20"/>
        <v>1</v>
      </c>
      <c r="R239">
        <f t="shared" si="21"/>
        <v>0</v>
      </c>
      <c r="S239">
        <f t="shared" si="22"/>
        <v>1</v>
      </c>
      <c r="T239">
        <f t="shared" si="23"/>
        <v>0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>
        <v>0</v>
      </c>
      <c r="L240" s="4">
        <v>3.2</v>
      </c>
      <c r="M240">
        <v>761919.25</v>
      </c>
      <c r="N240">
        <v>111893.06</v>
      </c>
      <c r="O240">
        <f t="shared" si="18"/>
        <v>0</v>
      </c>
      <c r="P240">
        <f t="shared" si="19"/>
        <v>0</v>
      </c>
      <c r="Q240">
        <f t="shared" si="20"/>
        <v>1</v>
      </c>
      <c r="R240">
        <f t="shared" si="21"/>
        <v>0</v>
      </c>
      <c r="S240">
        <f t="shared" si="22"/>
        <v>1</v>
      </c>
      <c r="T240">
        <f t="shared" si="23"/>
        <v>0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>
        <v>0</v>
      </c>
      <c r="L241" s="4">
        <v>3.3</v>
      </c>
      <c r="M241">
        <v>737070.18</v>
      </c>
      <c r="N241">
        <v>117593.97</v>
      </c>
      <c r="O241">
        <f t="shared" si="18"/>
        <v>0</v>
      </c>
      <c r="P241">
        <f t="shared" si="19"/>
        <v>0</v>
      </c>
      <c r="Q241">
        <f t="shared" si="20"/>
        <v>1</v>
      </c>
      <c r="R241">
        <f t="shared" si="21"/>
        <v>0</v>
      </c>
      <c r="S241">
        <f t="shared" si="22"/>
        <v>1</v>
      </c>
      <c r="T241">
        <f t="shared" si="23"/>
        <v>0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>
        <v>1</v>
      </c>
      <c r="L242" s="4">
        <v>2.9</v>
      </c>
      <c r="M242">
        <v>776992.93</v>
      </c>
      <c r="N242">
        <v>101598.32</v>
      </c>
      <c r="O242">
        <f t="shared" si="18"/>
        <v>0</v>
      </c>
      <c r="P242">
        <f t="shared" si="19"/>
        <v>1</v>
      </c>
      <c r="Q242">
        <f t="shared" si="20"/>
        <v>0</v>
      </c>
      <c r="R242">
        <f t="shared" si="21"/>
        <v>1</v>
      </c>
      <c r="S242">
        <f t="shared" si="22"/>
        <v>0</v>
      </c>
      <c r="T242">
        <f t="shared" si="23"/>
        <v>0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>
        <v>0</v>
      </c>
      <c r="L243" s="4">
        <v>3.7</v>
      </c>
      <c r="M243">
        <v>676337.41</v>
      </c>
      <c r="N243">
        <v>104355.77</v>
      </c>
      <c r="O243">
        <f t="shared" si="18"/>
        <v>0</v>
      </c>
      <c r="P243">
        <f t="shared" si="19"/>
        <v>1</v>
      </c>
      <c r="Q243">
        <f t="shared" si="20"/>
        <v>0</v>
      </c>
      <c r="R243">
        <f t="shared" si="21"/>
        <v>1</v>
      </c>
      <c r="S243">
        <f t="shared" si="22"/>
        <v>0</v>
      </c>
      <c r="T243">
        <f t="shared" si="23"/>
        <v>0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>
        <v>0</v>
      </c>
      <c r="L244" s="4">
        <v>3.5</v>
      </c>
      <c r="M244">
        <v>828219.67</v>
      </c>
      <c r="N244">
        <v>179806.87</v>
      </c>
      <c r="O244">
        <f t="shared" si="18"/>
        <v>0</v>
      </c>
      <c r="P244">
        <f t="shared" si="19"/>
        <v>1</v>
      </c>
      <c r="Q244">
        <f t="shared" si="20"/>
        <v>0</v>
      </c>
      <c r="R244">
        <f t="shared" si="21"/>
        <v>1</v>
      </c>
      <c r="S244">
        <f t="shared" si="22"/>
        <v>0</v>
      </c>
      <c r="T244">
        <f t="shared" si="23"/>
        <v>0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>
        <v>0</v>
      </c>
      <c r="L245" s="4">
        <v>3</v>
      </c>
      <c r="M245">
        <v>763159.92</v>
      </c>
      <c r="N245">
        <v>177104.87</v>
      </c>
      <c r="O245">
        <f t="shared" si="18"/>
        <v>0</v>
      </c>
      <c r="P245">
        <f t="shared" si="19"/>
        <v>1</v>
      </c>
      <c r="Q245">
        <f t="shared" si="20"/>
        <v>0</v>
      </c>
      <c r="R245">
        <f t="shared" si="21"/>
        <v>1</v>
      </c>
      <c r="S245">
        <f t="shared" si="22"/>
        <v>0</v>
      </c>
      <c r="T245">
        <f t="shared" si="23"/>
        <v>0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>
        <v>0</v>
      </c>
      <c r="L246" s="4">
        <v>3.2</v>
      </c>
      <c r="M246">
        <v>802001.68</v>
      </c>
      <c r="N246">
        <v>159715.82</v>
      </c>
      <c r="O246">
        <f t="shared" si="18"/>
        <v>0</v>
      </c>
      <c r="P246">
        <f t="shared" si="19"/>
        <v>0</v>
      </c>
      <c r="Q246">
        <f t="shared" si="20"/>
        <v>0</v>
      </c>
      <c r="R246">
        <f t="shared" si="21"/>
        <v>0</v>
      </c>
      <c r="S246">
        <f t="shared" si="22"/>
        <v>0</v>
      </c>
      <c r="T246">
        <f t="shared" si="23"/>
        <v>0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>
        <v>0</v>
      </c>
      <c r="L247" s="4">
        <v>3.4</v>
      </c>
      <c r="M247">
        <v>750471.34</v>
      </c>
      <c r="N247">
        <v>133788.04</v>
      </c>
      <c r="O247">
        <f t="shared" si="18"/>
        <v>0</v>
      </c>
      <c r="P247">
        <f t="shared" si="19"/>
        <v>0</v>
      </c>
      <c r="Q247">
        <f t="shared" si="20"/>
        <v>0</v>
      </c>
      <c r="R247">
        <f t="shared" si="21"/>
        <v>0</v>
      </c>
      <c r="S247">
        <f t="shared" si="22"/>
        <v>0</v>
      </c>
      <c r="T247">
        <f t="shared" si="23"/>
        <v>0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>
        <v>0</v>
      </c>
      <c r="L248" s="4">
        <v>3.1</v>
      </c>
      <c r="M248">
        <v>679230.86</v>
      </c>
      <c r="N248">
        <v>106927.58</v>
      </c>
      <c r="O248">
        <f t="shared" si="18"/>
        <v>0</v>
      </c>
      <c r="P248">
        <f t="shared" si="19"/>
        <v>0</v>
      </c>
      <c r="Q248">
        <f t="shared" si="20"/>
        <v>0</v>
      </c>
      <c r="R248">
        <f t="shared" si="21"/>
        <v>0</v>
      </c>
      <c r="S248">
        <f t="shared" si="22"/>
        <v>0</v>
      </c>
      <c r="T248">
        <f t="shared" si="23"/>
        <v>0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>
        <v>0</v>
      </c>
      <c r="L249" s="4">
        <v>3.3</v>
      </c>
      <c r="M249">
        <v>679888.74</v>
      </c>
      <c r="N249">
        <v>83406.89</v>
      </c>
      <c r="O249">
        <f t="shared" si="18"/>
        <v>0</v>
      </c>
      <c r="P249">
        <f t="shared" si="19"/>
        <v>0</v>
      </c>
      <c r="Q249">
        <f t="shared" si="20"/>
        <v>0</v>
      </c>
      <c r="R249">
        <f t="shared" si="21"/>
        <v>0</v>
      </c>
      <c r="S249">
        <f t="shared" si="22"/>
        <v>0</v>
      </c>
      <c r="T249">
        <f t="shared" si="23"/>
        <v>0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>
        <v>0</v>
      </c>
      <c r="L250" s="4">
        <v>3.8</v>
      </c>
      <c r="M250">
        <v>606783.67000000004</v>
      </c>
      <c r="N250">
        <v>74515.87</v>
      </c>
      <c r="O250">
        <f t="shared" si="18"/>
        <v>1</v>
      </c>
      <c r="P250">
        <f t="shared" si="19"/>
        <v>0</v>
      </c>
      <c r="Q250">
        <f t="shared" si="20"/>
        <v>0</v>
      </c>
      <c r="R250">
        <f t="shared" si="21"/>
        <v>0</v>
      </c>
      <c r="S250">
        <f t="shared" si="22"/>
        <v>0</v>
      </c>
      <c r="T250">
        <f t="shared" si="23"/>
        <v>0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>
        <v>0</v>
      </c>
      <c r="L251" s="4">
        <v>3.6</v>
      </c>
      <c r="M251">
        <v>642751.42000000004</v>
      </c>
      <c r="N251">
        <v>131942.15</v>
      </c>
      <c r="O251">
        <f t="shared" si="18"/>
        <v>1</v>
      </c>
      <c r="P251">
        <f t="shared" si="19"/>
        <v>0</v>
      </c>
      <c r="Q251">
        <f t="shared" si="20"/>
        <v>0</v>
      </c>
      <c r="R251">
        <f t="shared" si="21"/>
        <v>0</v>
      </c>
      <c r="S251">
        <f t="shared" si="22"/>
        <v>0</v>
      </c>
      <c r="T251">
        <f t="shared" si="23"/>
        <v>0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>
        <v>0</v>
      </c>
      <c r="L252" s="4">
        <v>4</v>
      </c>
      <c r="M252">
        <v>647953.78</v>
      </c>
      <c r="N252">
        <v>118497.43</v>
      </c>
      <c r="O252">
        <f t="shared" si="18"/>
        <v>1</v>
      </c>
      <c r="P252">
        <f t="shared" si="19"/>
        <v>0</v>
      </c>
      <c r="Q252">
        <f t="shared" si="20"/>
        <v>0</v>
      </c>
      <c r="R252">
        <f t="shared" si="21"/>
        <v>0</v>
      </c>
      <c r="S252">
        <f t="shared" si="22"/>
        <v>0</v>
      </c>
      <c r="T252">
        <f t="shared" si="23"/>
        <v>0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>
        <v>0</v>
      </c>
      <c r="L253" s="4">
        <v>4</v>
      </c>
      <c r="M253">
        <v>729440.45</v>
      </c>
      <c r="N253">
        <v>87614.29</v>
      </c>
      <c r="O253">
        <f t="shared" si="18"/>
        <v>1</v>
      </c>
      <c r="P253">
        <f t="shared" si="19"/>
        <v>0</v>
      </c>
      <c r="Q253">
        <f t="shared" si="20"/>
        <v>0</v>
      </c>
      <c r="R253">
        <f t="shared" si="21"/>
        <v>0</v>
      </c>
      <c r="S253">
        <f t="shared" si="22"/>
        <v>0</v>
      </c>
      <c r="T253">
        <f t="shared" si="23"/>
        <v>0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>
        <v>0</v>
      </c>
      <c r="L254" s="4">
        <v>3.7</v>
      </c>
      <c r="M254">
        <v>764949</v>
      </c>
      <c r="N254">
        <v>148322.43</v>
      </c>
      <c r="O254">
        <f t="shared" si="18"/>
        <v>0</v>
      </c>
      <c r="P254">
        <f t="shared" si="19"/>
        <v>1</v>
      </c>
      <c r="Q254">
        <f t="shared" si="20"/>
        <v>0</v>
      </c>
      <c r="R254">
        <f t="shared" si="21"/>
        <v>1</v>
      </c>
      <c r="S254">
        <f t="shared" si="22"/>
        <v>0</v>
      </c>
      <c r="T254">
        <f t="shared" si="23"/>
        <v>0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>
        <v>0</v>
      </c>
      <c r="L255" s="4">
        <v>3.2</v>
      </c>
      <c r="M255">
        <v>799046.94</v>
      </c>
      <c r="N255">
        <v>144553.64000000001</v>
      </c>
      <c r="O255">
        <f t="shared" si="18"/>
        <v>0</v>
      </c>
      <c r="P255">
        <f t="shared" si="19"/>
        <v>1</v>
      </c>
      <c r="Q255">
        <f t="shared" si="20"/>
        <v>0</v>
      </c>
      <c r="R255">
        <f t="shared" si="21"/>
        <v>1</v>
      </c>
      <c r="S255">
        <f t="shared" si="22"/>
        <v>0</v>
      </c>
      <c r="T255">
        <f t="shared" si="23"/>
        <v>0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>
        <v>0</v>
      </c>
      <c r="L256" s="4">
        <v>3.6</v>
      </c>
      <c r="M256">
        <v>720079.54</v>
      </c>
      <c r="N256">
        <v>119499.47</v>
      </c>
      <c r="O256">
        <f t="shared" si="18"/>
        <v>0</v>
      </c>
      <c r="P256">
        <f t="shared" si="19"/>
        <v>1</v>
      </c>
      <c r="Q256">
        <f t="shared" si="20"/>
        <v>0</v>
      </c>
      <c r="R256">
        <f t="shared" si="21"/>
        <v>1</v>
      </c>
      <c r="S256">
        <f t="shared" si="22"/>
        <v>0</v>
      </c>
      <c r="T256">
        <f t="shared" si="23"/>
        <v>0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>
        <v>0</v>
      </c>
      <c r="L257" s="4">
        <v>4.0999999999999996</v>
      </c>
      <c r="M257">
        <v>612390.14</v>
      </c>
      <c r="N257">
        <v>108985.74</v>
      </c>
      <c r="O257">
        <f t="shared" si="18"/>
        <v>0</v>
      </c>
      <c r="P257">
        <f t="shared" si="19"/>
        <v>1</v>
      </c>
      <c r="Q257">
        <f t="shared" si="20"/>
        <v>0</v>
      </c>
      <c r="R257">
        <f t="shared" si="21"/>
        <v>1</v>
      </c>
      <c r="S257">
        <f t="shared" si="22"/>
        <v>0</v>
      </c>
      <c r="T257">
        <f t="shared" si="23"/>
        <v>0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>
        <v>1</v>
      </c>
      <c r="L258" s="4">
        <v>4.3</v>
      </c>
      <c r="M258">
        <v>840108.12</v>
      </c>
      <c r="N258">
        <v>126587.01</v>
      </c>
      <c r="O258">
        <f t="shared" si="18"/>
        <v>0</v>
      </c>
      <c r="P258">
        <f t="shared" si="19"/>
        <v>1</v>
      </c>
      <c r="Q258">
        <f t="shared" si="20"/>
        <v>0</v>
      </c>
      <c r="R258">
        <f t="shared" si="21"/>
        <v>0</v>
      </c>
      <c r="S258">
        <f t="shared" si="22"/>
        <v>1</v>
      </c>
      <c r="T258">
        <f t="shared" si="23"/>
        <v>0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>
        <v>0</v>
      </c>
      <c r="L259" s="4">
        <v>4.5999999999999996</v>
      </c>
      <c r="M259">
        <v>697888.09</v>
      </c>
      <c r="N259">
        <v>116249.87</v>
      </c>
      <c r="O259">
        <f t="shared" ref="O259:O321" si="24">IF(C259="North",1,0)</f>
        <v>0</v>
      </c>
      <c r="P259">
        <f t="shared" ref="P259:P321" si="25">IF(C259="South",1,0)</f>
        <v>1</v>
      </c>
      <c r="Q259">
        <f t="shared" ref="Q259:Q321" si="26">IF(C259="West",1,0)</f>
        <v>0</v>
      </c>
      <c r="R259">
        <f t="shared" ref="R259:R321" si="27">IF(D259="Airport",1,0)</f>
        <v>0</v>
      </c>
      <c r="S259">
        <f t="shared" ref="S259:S321" si="28">IF(D259="Mall",1,0)</f>
        <v>1</v>
      </c>
      <c r="T259">
        <f t="shared" ref="T259:T321" si="29">IF(D259="Residential",1,0)</f>
        <v>0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>
        <v>0</v>
      </c>
      <c r="L260" s="4">
        <v>4.4000000000000004</v>
      </c>
      <c r="M260">
        <v>746115.59</v>
      </c>
      <c r="N260">
        <v>94662.96</v>
      </c>
      <c r="O260">
        <f t="shared" si="24"/>
        <v>0</v>
      </c>
      <c r="P260">
        <f t="shared" si="25"/>
        <v>1</v>
      </c>
      <c r="Q260">
        <f t="shared" si="26"/>
        <v>0</v>
      </c>
      <c r="R260">
        <f t="shared" si="27"/>
        <v>0</v>
      </c>
      <c r="S260">
        <f t="shared" si="28"/>
        <v>1</v>
      </c>
      <c r="T260">
        <f t="shared" si="29"/>
        <v>0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>
        <v>0</v>
      </c>
      <c r="L261" s="4">
        <v>3.6</v>
      </c>
      <c r="M261">
        <v>776110.32</v>
      </c>
      <c r="N261">
        <v>139676.21</v>
      </c>
      <c r="O261">
        <f t="shared" si="24"/>
        <v>0</v>
      </c>
      <c r="P261">
        <f t="shared" si="25"/>
        <v>1</v>
      </c>
      <c r="Q261">
        <f t="shared" si="26"/>
        <v>0</v>
      </c>
      <c r="R261">
        <f t="shared" si="27"/>
        <v>0</v>
      </c>
      <c r="S261">
        <f t="shared" si="28"/>
        <v>1</v>
      </c>
      <c r="T261">
        <f t="shared" si="29"/>
        <v>0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>
        <v>0</v>
      </c>
      <c r="L262" s="4">
        <v>4.2</v>
      </c>
      <c r="M262">
        <v>528852.62</v>
      </c>
      <c r="N262">
        <v>68426.210000000006</v>
      </c>
      <c r="O262">
        <f t="shared" si="24"/>
        <v>0</v>
      </c>
      <c r="P262">
        <f t="shared" si="25"/>
        <v>0</v>
      </c>
      <c r="Q262">
        <f t="shared" si="26"/>
        <v>1</v>
      </c>
      <c r="R262">
        <f t="shared" si="27"/>
        <v>0</v>
      </c>
      <c r="S262">
        <f t="shared" si="28"/>
        <v>0</v>
      </c>
      <c r="T262">
        <f t="shared" si="29"/>
        <v>0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J263" s="4"/>
      <c r="K263">
        <v>0</v>
      </c>
      <c r="L263" s="4">
        <v>4.2</v>
      </c>
      <c r="M263">
        <v>605751.32999999996</v>
      </c>
      <c r="N263">
        <v>60685.53</v>
      </c>
      <c r="O263">
        <f t="shared" si="24"/>
        <v>0</v>
      </c>
      <c r="P263">
        <f t="shared" si="25"/>
        <v>0</v>
      </c>
      <c r="Q263">
        <f t="shared" si="26"/>
        <v>1</v>
      </c>
      <c r="R263">
        <f t="shared" si="27"/>
        <v>0</v>
      </c>
      <c r="S263">
        <f t="shared" si="28"/>
        <v>0</v>
      </c>
      <c r="T263">
        <f t="shared" si="29"/>
        <v>0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>
        <v>1</v>
      </c>
      <c r="L264" s="4">
        <v>4.2</v>
      </c>
      <c r="M264">
        <v>677640.65</v>
      </c>
      <c r="N264">
        <v>111610.89</v>
      </c>
      <c r="O264">
        <f t="shared" si="24"/>
        <v>0</v>
      </c>
      <c r="P264">
        <f t="shared" si="25"/>
        <v>0</v>
      </c>
      <c r="Q264">
        <f t="shared" si="26"/>
        <v>1</v>
      </c>
      <c r="R264">
        <f t="shared" si="27"/>
        <v>0</v>
      </c>
      <c r="S264">
        <f t="shared" si="28"/>
        <v>0</v>
      </c>
      <c r="T264">
        <f t="shared" si="29"/>
        <v>0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>
        <v>0</v>
      </c>
      <c r="L265" s="4">
        <v>3.7</v>
      </c>
      <c r="M265">
        <v>636613.23</v>
      </c>
      <c r="N265">
        <v>78908.350000000006</v>
      </c>
      <c r="O265">
        <f t="shared" si="24"/>
        <v>0</v>
      </c>
      <c r="P265">
        <f t="shared" si="25"/>
        <v>0</v>
      </c>
      <c r="Q265">
        <f t="shared" si="26"/>
        <v>1</v>
      </c>
      <c r="R265">
        <f t="shared" si="27"/>
        <v>0</v>
      </c>
      <c r="S265">
        <f t="shared" si="28"/>
        <v>0</v>
      </c>
      <c r="T265">
        <f t="shared" si="29"/>
        <v>0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>
        <v>0</v>
      </c>
      <c r="L266" s="4">
        <v>3.5</v>
      </c>
      <c r="M266">
        <v>708985.19</v>
      </c>
      <c r="N266">
        <v>125368.16</v>
      </c>
      <c r="O266">
        <f t="shared" si="24"/>
        <v>0</v>
      </c>
      <c r="P266">
        <f t="shared" si="25"/>
        <v>0</v>
      </c>
      <c r="Q266">
        <f t="shared" si="26"/>
        <v>0</v>
      </c>
      <c r="R266">
        <f t="shared" si="27"/>
        <v>0</v>
      </c>
      <c r="S266">
        <f t="shared" si="28"/>
        <v>0</v>
      </c>
      <c r="T266">
        <f t="shared" si="29"/>
        <v>0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>
        <v>0</v>
      </c>
      <c r="L267" s="4">
        <v>3.7</v>
      </c>
      <c r="M267">
        <v>767792.94</v>
      </c>
      <c r="N267">
        <v>96235.77</v>
      </c>
      <c r="O267">
        <f t="shared" si="24"/>
        <v>0</v>
      </c>
      <c r="P267">
        <f t="shared" si="25"/>
        <v>0</v>
      </c>
      <c r="Q267">
        <f t="shared" si="26"/>
        <v>0</v>
      </c>
      <c r="R267">
        <f t="shared" si="27"/>
        <v>0</v>
      </c>
      <c r="S267">
        <f t="shared" si="28"/>
        <v>0</v>
      </c>
      <c r="T267">
        <f t="shared" si="29"/>
        <v>0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>
        <v>0</v>
      </c>
      <c r="L268" s="4">
        <v>3.7</v>
      </c>
      <c r="M268">
        <v>745580.51</v>
      </c>
      <c r="N268">
        <v>116273.68</v>
      </c>
      <c r="O268">
        <f t="shared" si="24"/>
        <v>0</v>
      </c>
      <c r="P268">
        <f t="shared" si="25"/>
        <v>0</v>
      </c>
      <c r="Q268">
        <f t="shared" si="26"/>
        <v>0</v>
      </c>
      <c r="R268">
        <f t="shared" si="27"/>
        <v>0</v>
      </c>
      <c r="S268">
        <f t="shared" si="28"/>
        <v>0</v>
      </c>
      <c r="T268">
        <f t="shared" si="29"/>
        <v>0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>
        <v>0</v>
      </c>
      <c r="L269" s="4">
        <v>3.5</v>
      </c>
      <c r="M269">
        <v>762328.31</v>
      </c>
      <c r="N269">
        <v>159158.19</v>
      </c>
      <c r="O269">
        <f t="shared" si="24"/>
        <v>0</v>
      </c>
      <c r="P269">
        <f t="shared" si="25"/>
        <v>0</v>
      </c>
      <c r="Q269">
        <f t="shared" si="26"/>
        <v>0</v>
      </c>
      <c r="R269">
        <f t="shared" si="27"/>
        <v>0</v>
      </c>
      <c r="S269">
        <f t="shared" si="28"/>
        <v>0</v>
      </c>
      <c r="T269">
        <f t="shared" si="29"/>
        <v>0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>
        <v>0</v>
      </c>
      <c r="L270" s="4">
        <v>3.6</v>
      </c>
      <c r="M270">
        <v>660633.99</v>
      </c>
      <c r="N270">
        <v>118768.66</v>
      </c>
      <c r="O270">
        <f t="shared" si="24"/>
        <v>0</v>
      </c>
      <c r="P270">
        <f t="shared" si="25"/>
        <v>0</v>
      </c>
      <c r="Q270">
        <f t="shared" si="26"/>
        <v>0</v>
      </c>
      <c r="R270">
        <f t="shared" si="27"/>
        <v>0</v>
      </c>
      <c r="S270">
        <f t="shared" si="28"/>
        <v>1</v>
      </c>
      <c r="T270">
        <f t="shared" si="29"/>
        <v>0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>
        <v>0</v>
      </c>
      <c r="L271" s="4">
        <v>3.5</v>
      </c>
      <c r="M271">
        <v>739374.56</v>
      </c>
      <c r="N271">
        <v>121032.29</v>
      </c>
      <c r="O271">
        <f t="shared" si="24"/>
        <v>0</v>
      </c>
      <c r="P271">
        <f t="shared" si="25"/>
        <v>0</v>
      </c>
      <c r="Q271">
        <f t="shared" si="26"/>
        <v>0</v>
      </c>
      <c r="R271">
        <f t="shared" si="27"/>
        <v>0</v>
      </c>
      <c r="S271">
        <f t="shared" si="28"/>
        <v>1</v>
      </c>
      <c r="T271">
        <f t="shared" si="29"/>
        <v>0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>
        <v>1</v>
      </c>
      <c r="L272" s="4">
        <v>3.8</v>
      </c>
      <c r="M272">
        <v>799756.46</v>
      </c>
      <c r="N272">
        <v>105052.93</v>
      </c>
      <c r="O272">
        <f t="shared" si="24"/>
        <v>0</v>
      </c>
      <c r="P272">
        <f t="shared" si="25"/>
        <v>0</v>
      </c>
      <c r="Q272">
        <f t="shared" si="26"/>
        <v>0</v>
      </c>
      <c r="R272">
        <f t="shared" si="27"/>
        <v>0</v>
      </c>
      <c r="S272">
        <f t="shared" si="28"/>
        <v>1</v>
      </c>
      <c r="T272">
        <f t="shared" si="29"/>
        <v>0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>
        <v>0</v>
      </c>
      <c r="L273" s="4">
        <v>3.2</v>
      </c>
      <c r="M273">
        <v>593343</v>
      </c>
      <c r="N273">
        <v>82832.240000000005</v>
      </c>
      <c r="O273">
        <f t="shared" si="24"/>
        <v>0</v>
      </c>
      <c r="P273">
        <f t="shared" si="25"/>
        <v>0</v>
      </c>
      <c r="Q273">
        <f t="shared" si="26"/>
        <v>0</v>
      </c>
      <c r="R273">
        <f t="shared" si="27"/>
        <v>0</v>
      </c>
      <c r="S273">
        <f t="shared" si="28"/>
        <v>1</v>
      </c>
      <c r="T273">
        <f t="shared" si="29"/>
        <v>0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>
        <v>0</v>
      </c>
      <c r="L274" s="4">
        <v>3.3</v>
      </c>
      <c r="M274">
        <v>645039.97</v>
      </c>
      <c r="N274">
        <v>83093.33</v>
      </c>
      <c r="O274">
        <f t="shared" si="24"/>
        <v>0</v>
      </c>
      <c r="P274">
        <f t="shared" si="25"/>
        <v>0</v>
      </c>
      <c r="Q274">
        <f t="shared" si="26"/>
        <v>1</v>
      </c>
      <c r="R274">
        <f t="shared" si="27"/>
        <v>0</v>
      </c>
      <c r="S274">
        <f t="shared" si="28"/>
        <v>0</v>
      </c>
      <c r="T274">
        <f t="shared" si="29"/>
        <v>0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>
        <v>0</v>
      </c>
      <c r="L275" s="4">
        <v>3.1</v>
      </c>
      <c r="M275">
        <v>561597.32999999996</v>
      </c>
      <c r="N275">
        <v>75072.75</v>
      </c>
      <c r="O275">
        <f t="shared" si="24"/>
        <v>0</v>
      </c>
      <c r="P275">
        <f t="shared" si="25"/>
        <v>0</v>
      </c>
      <c r="Q275">
        <f t="shared" si="26"/>
        <v>1</v>
      </c>
      <c r="R275">
        <f t="shared" si="27"/>
        <v>0</v>
      </c>
      <c r="S275">
        <f t="shared" si="28"/>
        <v>0</v>
      </c>
      <c r="T275">
        <f t="shared" si="29"/>
        <v>0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>
        <v>0</v>
      </c>
      <c r="L276" s="4">
        <v>3.1</v>
      </c>
      <c r="M276">
        <v>635837.74</v>
      </c>
      <c r="N276">
        <v>114740.64</v>
      </c>
      <c r="O276">
        <f t="shared" si="24"/>
        <v>0</v>
      </c>
      <c r="P276">
        <f t="shared" si="25"/>
        <v>0</v>
      </c>
      <c r="Q276">
        <f t="shared" si="26"/>
        <v>1</v>
      </c>
      <c r="R276">
        <f t="shared" si="27"/>
        <v>0</v>
      </c>
      <c r="S276">
        <f t="shared" si="28"/>
        <v>0</v>
      </c>
      <c r="T276">
        <f t="shared" si="29"/>
        <v>0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>
        <v>0</v>
      </c>
      <c r="L277" s="4">
        <v>3</v>
      </c>
      <c r="M277">
        <v>686737.87</v>
      </c>
      <c r="N277">
        <v>83839.67</v>
      </c>
      <c r="O277">
        <f t="shared" si="24"/>
        <v>0</v>
      </c>
      <c r="P277">
        <f t="shared" si="25"/>
        <v>0</v>
      </c>
      <c r="Q277">
        <f t="shared" si="26"/>
        <v>1</v>
      </c>
      <c r="R277">
        <f t="shared" si="27"/>
        <v>0</v>
      </c>
      <c r="S277">
        <f t="shared" si="28"/>
        <v>0</v>
      </c>
      <c r="T277">
        <f t="shared" si="29"/>
        <v>0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>
        <v>1</v>
      </c>
      <c r="L278" s="4">
        <v>3.4</v>
      </c>
      <c r="M278">
        <v>673076.34</v>
      </c>
      <c r="N278">
        <v>93899.76</v>
      </c>
      <c r="O278">
        <f t="shared" si="24"/>
        <v>0</v>
      </c>
      <c r="P278">
        <f t="shared" si="25"/>
        <v>1</v>
      </c>
      <c r="Q278">
        <f t="shared" si="26"/>
        <v>0</v>
      </c>
      <c r="R278">
        <f t="shared" si="27"/>
        <v>0</v>
      </c>
      <c r="S278">
        <f t="shared" si="28"/>
        <v>0</v>
      </c>
      <c r="T278">
        <f t="shared" si="29"/>
        <v>1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>
        <v>0</v>
      </c>
      <c r="L279" s="4">
        <v>4</v>
      </c>
      <c r="M279">
        <v>738548.42</v>
      </c>
      <c r="N279">
        <v>134282.76999999999</v>
      </c>
      <c r="O279">
        <f t="shared" si="24"/>
        <v>0</v>
      </c>
      <c r="P279">
        <f t="shared" si="25"/>
        <v>1</v>
      </c>
      <c r="Q279">
        <f t="shared" si="26"/>
        <v>0</v>
      </c>
      <c r="R279">
        <f t="shared" si="27"/>
        <v>0</v>
      </c>
      <c r="S279">
        <f t="shared" si="28"/>
        <v>0</v>
      </c>
      <c r="T279">
        <f t="shared" si="29"/>
        <v>1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>
        <v>0</v>
      </c>
      <c r="L280" s="4">
        <v>3.9</v>
      </c>
      <c r="M280">
        <v>756619.77</v>
      </c>
      <c r="N280">
        <v>112057.69</v>
      </c>
      <c r="O280">
        <f t="shared" si="24"/>
        <v>0</v>
      </c>
      <c r="P280">
        <f t="shared" si="25"/>
        <v>1</v>
      </c>
      <c r="Q280">
        <f t="shared" si="26"/>
        <v>0</v>
      </c>
      <c r="R280">
        <f t="shared" si="27"/>
        <v>0</v>
      </c>
      <c r="S280">
        <f t="shared" si="28"/>
        <v>0</v>
      </c>
      <c r="T280">
        <f t="shared" si="29"/>
        <v>1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>
        <v>0</v>
      </c>
      <c r="L281" s="4">
        <v>3.7</v>
      </c>
      <c r="M281">
        <v>761122.42</v>
      </c>
      <c r="N281">
        <v>149802.04</v>
      </c>
      <c r="O281">
        <f t="shared" si="24"/>
        <v>0</v>
      </c>
      <c r="P281">
        <f t="shared" si="25"/>
        <v>1</v>
      </c>
      <c r="Q281">
        <f t="shared" si="26"/>
        <v>0</v>
      </c>
      <c r="R281">
        <f t="shared" si="27"/>
        <v>0</v>
      </c>
      <c r="S281">
        <f t="shared" si="28"/>
        <v>0</v>
      </c>
      <c r="T281">
        <f t="shared" si="29"/>
        <v>1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>
        <v>1</v>
      </c>
      <c r="L282" s="4">
        <v>3.8</v>
      </c>
      <c r="M282">
        <v>524899.56999999995</v>
      </c>
      <c r="N282">
        <v>63619.98</v>
      </c>
      <c r="O282">
        <f t="shared" si="24"/>
        <v>0</v>
      </c>
      <c r="P282">
        <f t="shared" si="25"/>
        <v>1</v>
      </c>
      <c r="Q282">
        <f t="shared" si="26"/>
        <v>0</v>
      </c>
      <c r="R282">
        <f t="shared" si="27"/>
        <v>0</v>
      </c>
      <c r="S282">
        <f t="shared" si="28"/>
        <v>0</v>
      </c>
      <c r="T282">
        <f t="shared" si="29"/>
        <v>0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>
        <v>0</v>
      </c>
      <c r="L283" s="4">
        <v>4</v>
      </c>
      <c r="M283">
        <v>555557.77</v>
      </c>
      <c r="N283">
        <v>86475.51</v>
      </c>
      <c r="O283">
        <f t="shared" si="24"/>
        <v>0</v>
      </c>
      <c r="P283">
        <f t="shared" si="25"/>
        <v>1</v>
      </c>
      <c r="Q283">
        <f t="shared" si="26"/>
        <v>0</v>
      </c>
      <c r="R283">
        <f t="shared" si="27"/>
        <v>0</v>
      </c>
      <c r="S283">
        <f t="shared" si="28"/>
        <v>0</v>
      </c>
      <c r="T283">
        <f t="shared" si="29"/>
        <v>0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>
        <v>0</v>
      </c>
      <c r="L284" s="4">
        <v>4</v>
      </c>
      <c r="M284">
        <v>714083.68</v>
      </c>
      <c r="N284">
        <v>127231.74</v>
      </c>
      <c r="O284">
        <f t="shared" si="24"/>
        <v>0</v>
      </c>
      <c r="P284">
        <f t="shared" si="25"/>
        <v>1</v>
      </c>
      <c r="Q284">
        <f t="shared" si="26"/>
        <v>0</v>
      </c>
      <c r="R284">
        <f t="shared" si="27"/>
        <v>0</v>
      </c>
      <c r="S284">
        <f t="shared" si="28"/>
        <v>0</v>
      </c>
      <c r="T284">
        <f t="shared" si="29"/>
        <v>0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>
        <v>0</v>
      </c>
      <c r="L285" s="4">
        <v>4.2</v>
      </c>
      <c r="M285">
        <v>497439.82</v>
      </c>
      <c r="N285">
        <v>93372.75</v>
      </c>
      <c r="O285">
        <f t="shared" si="24"/>
        <v>0</v>
      </c>
      <c r="P285">
        <f t="shared" si="25"/>
        <v>1</v>
      </c>
      <c r="Q285">
        <f t="shared" si="26"/>
        <v>0</v>
      </c>
      <c r="R285">
        <f t="shared" si="27"/>
        <v>0</v>
      </c>
      <c r="S285">
        <f t="shared" si="28"/>
        <v>0</v>
      </c>
      <c r="T285">
        <f t="shared" si="29"/>
        <v>0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>
        <v>1</v>
      </c>
      <c r="L286" s="4">
        <v>4.5</v>
      </c>
      <c r="M286">
        <v>636775.66</v>
      </c>
      <c r="N286">
        <v>122636.86</v>
      </c>
      <c r="O286">
        <f t="shared" si="24"/>
        <v>0</v>
      </c>
      <c r="P286">
        <f t="shared" si="25"/>
        <v>0</v>
      </c>
      <c r="Q286">
        <f t="shared" si="26"/>
        <v>1</v>
      </c>
      <c r="R286">
        <f t="shared" si="27"/>
        <v>0</v>
      </c>
      <c r="S286">
        <f t="shared" si="28"/>
        <v>0</v>
      </c>
      <c r="T286">
        <f t="shared" si="29"/>
        <v>1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>
        <v>0</v>
      </c>
      <c r="L287" s="4">
        <v>4.5</v>
      </c>
      <c r="M287">
        <v>633009.53</v>
      </c>
      <c r="N287">
        <v>123782.67</v>
      </c>
      <c r="O287">
        <f t="shared" si="24"/>
        <v>0</v>
      </c>
      <c r="P287">
        <f t="shared" si="25"/>
        <v>0</v>
      </c>
      <c r="Q287">
        <f t="shared" si="26"/>
        <v>1</v>
      </c>
      <c r="R287">
        <f t="shared" si="27"/>
        <v>0</v>
      </c>
      <c r="S287">
        <f t="shared" si="28"/>
        <v>0</v>
      </c>
      <c r="T287">
        <f t="shared" si="29"/>
        <v>1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>
        <v>1</v>
      </c>
      <c r="L288" s="4">
        <v>4.2</v>
      </c>
      <c r="M288">
        <v>609949</v>
      </c>
      <c r="N288">
        <v>126789.25</v>
      </c>
      <c r="O288">
        <f t="shared" si="24"/>
        <v>0</v>
      </c>
      <c r="P288">
        <f t="shared" si="25"/>
        <v>0</v>
      </c>
      <c r="Q288">
        <f t="shared" si="26"/>
        <v>1</v>
      </c>
      <c r="R288">
        <f t="shared" si="27"/>
        <v>0</v>
      </c>
      <c r="S288">
        <f t="shared" si="28"/>
        <v>0</v>
      </c>
      <c r="T288">
        <f t="shared" si="29"/>
        <v>1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>
        <v>0</v>
      </c>
      <c r="L289" s="4">
        <v>4.8</v>
      </c>
      <c r="M289">
        <v>548103.69999999995</v>
      </c>
      <c r="N289">
        <v>99905.52</v>
      </c>
      <c r="O289">
        <f t="shared" si="24"/>
        <v>0</v>
      </c>
      <c r="P289">
        <f t="shared" si="25"/>
        <v>0</v>
      </c>
      <c r="Q289">
        <f t="shared" si="26"/>
        <v>1</v>
      </c>
      <c r="R289">
        <f t="shared" si="27"/>
        <v>0</v>
      </c>
      <c r="S289">
        <f t="shared" si="28"/>
        <v>0</v>
      </c>
      <c r="T289">
        <f t="shared" si="29"/>
        <v>1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>
        <v>0</v>
      </c>
      <c r="L290" s="4">
        <v>3.7</v>
      </c>
      <c r="M290">
        <v>729424.42</v>
      </c>
      <c r="N290">
        <v>75592.28</v>
      </c>
      <c r="O290">
        <f t="shared" si="24"/>
        <v>0</v>
      </c>
      <c r="P290">
        <f t="shared" si="25"/>
        <v>0</v>
      </c>
      <c r="Q290">
        <f t="shared" si="26"/>
        <v>0</v>
      </c>
      <c r="R290">
        <f t="shared" si="27"/>
        <v>0</v>
      </c>
      <c r="S290">
        <f t="shared" si="28"/>
        <v>0</v>
      </c>
      <c r="T290">
        <f t="shared" si="29"/>
        <v>1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>
        <v>0</v>
      </c>
      <c r="L291" s="4">
        <v>4</v>
      </c>
      <c r="M291">
        <v>696261.49</v>
      </c>
      <c r="N291">
        <v>72455.350000000006</v>
      </c>
      <c r="O291">
        <f t="shared" si="24"/>
        <v>0</v>
      </c>
      <c r="P291">
        <f t="shared" si="25"/>
        <v>0</v>
      </c>
      <c r="Q291">
        <f t="shared" si="26"/>
        <v>0</v>
      </c>
      <c r="R291">
        <f t="shared" si="27"/>
        <v>0</v>
      </c>
      <c r="S291">
        <f t="shared" si="28"/>
        <v>0</v>
      </c>
      <c r="T291">
        <f t="shared" si="29"/>
        <v>1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>
        <v>1</v>
      </c>
      <c r="L292" s="4">
        <v>4.3</v>
      </c>
      <c r="M292">
        <v>813316.71</v>
      </c>
      <c r="N292">
        <v>110077.42</v>
      </c>
      <c r="O292">
        <f t="shared" si="24"/>
        <v>0</v>
      </c>
      <c r="P292">
        <f t="shared" si="25"/>
        <v>0</v>
      </c>
      <c r="Q292">
        <f t="shared" si="26"/>
        <v>0</v>
      </c>
      <c r="R292">
        <f t="shared" si="27"/>
        <v>0</v>
      </c>
      <c r="S292">
        <f t="shared" si="28"/>
        <v>0</v>
      </c>
      <c r="T292">
        <f t="shared" si="29"/>
        <v>1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>
        <v>0</v>
      </c>
      <c r="L293" s="4">
        <v>4.0999999999999996</v>
      </c>
      <c r="M293">
        <v>702068.92</v>
      </c>
      <c r="N293">
        <v>111266.63</v>
      </c>
      <c r="O293">
        <f t="shared" si="24"/>
        <v>0</v>
      </c>
      <c r="P293">
        <f t="shared" si="25"/>
        <v>0</v>
      </c>
      <c r="Q293">
        <f t="shared" si="26"/>
        <v>0</v>
      </c>
      <c r="R293">
        <f t="shared" si="27"/>
        <v>0</v>
      </c>
      <c r="S293">
        <f t="shared" si="28"/>
        <v>0</v>
      </c>
      <c r="T293">
        <f t="shared" si="29"/>
        <v>1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>
        <v>0</v>
      </c>
      <c r="L294" s="4">
        <v>4.5</v>
      </c>
      <c r="M294">
        <v>546223.69999999995</v>
      </c>
      <c r="N294">
        <v>100769.17</v>
      </c>
      <c r="O294">
        <f t="shared" si="24"/>
        <v>0</v>
      </c>
      <c r="P294">
        <f t="shared" si="25"/>
        <v>0</v>
      </c>
      <c r="Q294">
        <f t="shared" si="26"/>
        <v>1</v>
      </c>
      <c r="R294">
        <f t="shared" si="27"/>
        <v>0</v>
      </c>
      <c r="S294">
        <f t="shared" si="28"/>
        <v>0</v>
      </c>
      <c r="T294">
        <f t="shared" si="29"/>
        <v>0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>
        <v>0</v>
      </c>
      <c r="L295" s="4">
        <v>4.2</v>
      </c>
      <c r="M295">
        <v>533121.26</v>
      </c>
      <c r="N295">
        <v>55063.39</v>
      </c>
      <c r="O295">
        <f t="shared" si="24"/>
        <v>0</v>
      </c>
      <c r="P295">
        <f t="shared" si="25"/>
        <v>0</v>
      </c>
      <c r="Q295">
        <f t="shared" si="26"/>
        <v>1</v>
      </c>
      <c r="R295">
        <f t="shared" si="27"/>
        <v>0</v>
      </c>
      <c r="S295">
        <f t="shared" si="28"/>
        <v>0</v>
      </c>
      <c r="T295">
        <f t="shared" si="29"/>
        <v>0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>
        <v>0</v>
      </c>
      <c r="L296" s="4">
        <v>4.7</v>
      </c>
      <c r="M296">
        <v>498970.32</v>
      </c>
      <c r="N296">
        <v>69656.7</v>
      </c>
      <c r="O296">
        <f t="shared" si="24"/>
        <v>0</v>
      </c>
      <c r="P296">
        <f t="shared" si="25"/>
        <v>0</v>
      </c>
      <c r="Q296">
        <f t="shared" si="26"/>
        <v>1</v>
      </c>
      <c r="R296">
        <f t="shared" si="27"/>
        <v>0</v>
      </c>
      <c r="S296">
        <f t="shared" si="28"/>
        <v>0</v>
      </c>
      <c r="T296">
        <f t="shared" si="29"/>
        <v>0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>
        <v>0</v>
      </c>
      <c r="L297" s="4">
        <v>4.5999999999999996</v>
      </c>
      <c r="M297">
        <v>487738.26</v>
      </c>
      <c r="N297">
        <v>96435.6</v>
      </c>
      <c r="O297">
        <f t="shared" si="24"/>
        <v>0</v>
      </c>
      <c r="P297">
        <f t="shared" si="25"/>
        <v>0</v>
      </c>
      <c r="Q297">
        <f t="shared" si="26"/>
        <v>1</v>
      </c>
      <c r="R297">
        <f t="shared" si="27"/>
        <v>0</v>
      </c>
      <c r="S297">
        <f t="shared" si="28"/>
        <v>0</v>
      </c>
      <c r="T297">
        <f t="shared" si="29"/>
        <v>0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>
        <v>0</v>
      </c>
      <c r="L298" s="4">
        <v>3.3</v>
      </c>
      <c r="M298">
        <v>668459.37</v>
      </c>
      <c r="N298">
        <v>126435.42</v>
      </c>
      <c r="O298">
        <f t="shared" si="24"/>
        <v>0</v>
      </c>
      <c r="P298">
        <f t="shared" si="25"/>
        <v>0</v>
      </c>
      <c r="Q298">
        <f t="shared" si="26"/>
        <v>1</v>
      </c>
      <c r="R298">
        <f t="shared" si="27"/>
        <v>0</v>
      </c>
      <c r="S298">
        <f t="shared" si="28"/>
        <v>0</v>
      </c>
      <c r="T298">
        <f t="shared" si="29"/>
        <v>0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>
        <v>0</v>
      </c>
      <c r="L299" s="4">
        <v>3.3</v>
      </c>
      <c r="M299">
        <v>763162.45</v>
      </c>
      <c r="N299">
        <v>162524.04999999999</v>
      </c>
      <c r="O299">
        <f t="shared" si="24"/>
        <v>0</v>
      </c>
      <c r="P299">
        <f t="shared" si="25"/>
        <v>0</v>
      </c>
      <c r="Q299">
        <f t="shared" si="26"/>
        <v>1</v>
      </c>
      <c r="R299">
        <f t="shared" si="27"/>
        <v>0</v>
      </c>
      <c r="S299">
        <f t="shared" si="28"/>
        <v>0</v>
      </c>
      <c r="T299">
        <f t="shared" si="29"/>
        <v>0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>
        <v>0</v>
      </c>
      <c r="L300" s="4">
        <v>3.1</v>
      </c>
      <c r="M300">
        <v>599017.32999999996</v>
      </c>
      <c r="N300">
        <v>134009.92000000001</v>
      </c>
      <c r="O300">
        <f t="shared" si="24"/>
        <v>0</v>
      </c>
      <c r="P300">
        <f t="shared" si="25"/>
        <v>0</v>
      </c>
      <c r="Q300">
        <f t="shared" si="26"/>
        <v>1</v>
      </c>
      <c r="R300">
        <f t="shared" si="27"/>
        <v>0</v>
      </c>
      <c r="S300">
        <f t="shared" si="28"/>
        <v>0</v>
      </c>
      <c r="T300">
        <f t="shared" si="29"/>
        <v>0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>
        <v>0</v>
      </c>
      <c r="L301" s="4">
        <v>3.2</v>
      </c>
      <c r="M301">
        <v>401582.58</v>
      </c>
      <c r="N301">
        <v>68454.929999999993</v>
      </c>
      <c r="O301">
        <f t="shared" si="24"/>
        <v>0</v>
      </c>
      <c r="P301">
        <f t="shared" si="25"/>
        <v>0</v>
      </c>
      <c r="Q301">
        <f t="shared" si="26"/>
        <v>1</v>
      </c>
      <c r="R301">
        <f t="shared" si="27"/>
        <v>0</v>
      </c>
      <c r="S301">
        <f t="shared" si="28"/>
        <v>0</v>
      </c>
      <c r="T301">
        <f t="shared" si="29"/>
        <v>0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>
        <v>1</v>
      </c>
      <c r="L302" s="4">
        <v>4.0999999999999996</v>
      </c>
      <c r="M302">
        <v>703812.99</v>
      </c>
      <c r="N302">
        <v>133577.98000000001</v>
      </c>
      <c r="O302">
        <f t="shared" si="24"/>
        <v>1</v>
      </c>
      <c r="P302">
        <f t="shared" si="25"/>
        <v>0</v>
      </c>
      <c r="Q302">
        <f t="shared" si="26"/>
        <v>0</v>
      </c>
      <c r="R302">
        <f t="shared" si="27"/>
        <v>0</v>
      </c>
      <c r="S302">
        <f t="shared" si="28"/>
        <v>1</v>
      </c>
      <c r="T302">
        <f t="shared" si="29"/>
        <v>0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>
        <v>0</v>
      </c>
      <c r="L303" s="4">
        <v>3.7</v>
      </c>
      <c r="M303">
        <v>724346.73</v>
      </c>
      <c r="N303">
        <v>155013.91</v>
      </c>
      <c r="O303">
        <f t="shared" si="24"/>
        <v>1</v>
      </c>
      <c r="P303">
        <f t="shared" si="25"/>
        <v>0</v>
      </c>
      <c r="Q303">
        <f t="shared" si="26"/>
        <v>0</v>
      </c>
      <c r="R303">
        <f t="shared" si="27"/>
        <v>0</v>
      </c>
      <c r="S303">
        <f t="shared" si="28"/>
        <v>1</v>
      </c>
      <c r="T303">
        <f t="shared" si="29"/>
        <v>0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>
        <v>1</v>
      </c>
      <c r="L304" s="4">
        <v>4.7</v>
      </c>
      <c r="M304">
        <v>730890.01</v>
      </c>
      <c r="N304">
        <v>105502.56</v>
      </c>
      <c r="O304">
        <f t="shared" si="24"/>
        <v>1</v>
      </c>
      <c r="P304">
        <f t="shared" si="25"/>
        <v>0</v>
      </c>
      <c r="Q304">
        <f t="shared" si="26"/>
        <v>0</v>
      </c>
      <c r="R304">
        <f t="shared" si="27"/>
        <v>0</v>
      </c>
      <c r="S304">
        <f t="shared" si="28"/>
        <v>1</v>
      </c>
      <c r="T304">
        <f t="shared" si="29"/>
        <v>0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>
        <v>0</v>
      </c>
      <c r="L305" s="4">
        <v>4.2</v>
      </c>
      <c r="M305">
        <v>780580.95</v>
      </c>
      <c r="N305">
        <v>138144.46</v>
      </c>
      <c r="O305">
        <f t="shared" si="24"/>
        <v>1</v>
      </c>
      <c r="P305">
        <f t="shared" si="25"/>
        <v>0</v>
      </c>
      <c r="Q305">
        <f t="shared" si="26"/>
        <v>0</v>
      </c>
      <c r="R305">
        <f t="shared" si="27"/>
        <v>0</v>
      </c>
      <c r="S305">
        <f t="shared" si="28"/>
        <v>1</v>
      </c>
      <c r="T305">
        <f t="shared" si="29"/>
        <v>0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>
        <v>0</v>
      </c>
      <c r="L306" s="4">
        <v>4</v>
      </c>
      <c r="M306">
        <v>727957.48</v>
      </c>
      <c r="N306">
        <v>74805.23</v>
      </c>
      <c r="O306">
        <f t="shared" si="24"/>
        <v>0</v>
      </c>
      <c r="P306">
        <f t="shared" si="25"/>
        <v>1</v>
      </c>
      <c r="Q306">
        <f t="shared" si="26"/>
        <v>0</v>
      </c>
      <c r="R306">
        <f t="shared" si="27"/>
        <v>0</v>
      </c>
      <c r="S306">
        <f t="shared" si="28"/>
        <v>0</v>
      </c>
      <c r="T306">
        <f t="shared" si="29"/>
        <v>1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>
        <v>0</v>
      </c>
      <c r="L307" s="4">
        <v>3.8</v>
      </c>
      <c r="M307">
        <v>538376</v>
      </c>
      <c r="N307">
        <v>87605.62</v>
      </c>
      <c r="O307">
        <f t="shared" si="24"/>
        <v>0</v>
      </c>
      <c r="P307">
        <f t="shared" si="25"/>
        <v>1</v>
      </c>
      <c r="Q307">
        <f t="shared" si="26"/>
        <v>0</v>
      </c>
      <c r="R307">
        <f t="shared" si="27"/>
        <v>0</v>
      </c>
      <c r="S307">
        <f t="shared" si="28"/>
        <v>0</v>
      </c>
      <c r="T307">
        <f t="shared" si="29"/>
        <v>1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>
        <v>1</v>
      </c>
      <c r="L308" s="4">
        <v>3.7</v>
      </c>
      <c r="M308">
        <v>665342.49</v>
      </c>
      <c r="N308">
        <v>93441.81</v>
      </c>
      <c r="O308">
        <f t="shared" si="24"/>
        <v>0</v>
      </c>
      <c r="P308">
        <f t="shared" si="25"/>
        <v>1</v>
      </c>
      <c r="Q308">
        <f t="shared" si="26"/>
        <v>0</v>
      </c>
      <c r="R308">
        <f t="shared" si="27"/>
        <v>0</v>
      </c>
      <c r="S308">
        <f t="shared" si="28"/>
        <v>0</v>
      </c>
      <c r="T308">
        <f t="shared" si="29"/>
        <v>1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>
        <v>0</v>
      </c>
      <c r="L309" s="4">
        <v>3.5</v>
      </c>
      <c r="M309">
        <v>651164.18000000005</v>
      </c>
      <c r="N309">
        <v>109466.5</v>
      </c>
      <c r="O309">
        <f t="shared" si="24"/>
        <v>0</v>
      </c>
      <c r="P309">
        <f t="shared" si="25"/>
        <v>1</v>
      </c>
      <c r="Q309">
        <f t="shared" si="26"/>
        <v>0</v>
      </c>
      <c r="R309">
        <f t="shared" si="27"/>
        <v>0</v>
      </c>
      <c r="S309">
        <f t="shared" si="28"/>
        <v>0</v>
      </c>
      <c r="T309">
        <f t="shared" si="29"/>
        <v>1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>
        <v>0</v>
      </c>
      <c r="L310" s="4">
        <v>4</v>
      </c>
      <c r="M310">
        <v>628538.30000000005</v>
      </c>
      <c r="N310">
        <v>112509.15</v>
      </c>
      <c r="O310">
        <f t="shared" si="24"/>
        <v>0</v>
      </c>
      <c r="P310">
        <f t="shared" si="25"/>
        <v>1</v>
      </c>
      <c r="Q310">
        <f t="shared" si="26"/>
        <v>0</v>
      </c>
      <c r="R310">
        <f t="shared" si="27"/>
        <v>0</v>
      </c>
      <c r="S310">
        <f t="shared" si="28"/>
        <v>0</v>
      </c>
      <c r="T310">
        <f t="shared" si="29"/>
        <v>0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>
        <v>0</v>
      </c>
      <c r="L311" s="4">
        <v>4.3</v>
      </c>
      <c r="M311">
        <v>536524.84</v>
      </c>
      <c r="N311">
        <v>92752.94</v>
      </c>
      <c r="O311">
        <f t="shared" si="24"/>
        <v>0</v>
      </c>
      <c r="P311">
        <f t="shared" si="25"/>
        <v>1</v>
      </c>
      <c r="Q311">
        <f t="shared" si="26"/>
        <v>0</v>
      </c>
      <c r="R311">
        <f t="shared" si="27"/>
        <v>0</v>
      </c>
      <c r="S311">
        <f t="shared" si="28"/>
        <v>0</v>
      </c>
      <c r="T311">
        <f t="shared" si="29"/>
        <v>0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>
        <v>0</v>
      </c>
      <c r="L312" s="4">
        <v>4.2</v>
      </c>
      <c r="M312">
        <v>621677.30000000005</v>
      </c>
      <c r="N312">
        <v>105192.52</v>
      </c>
      <c r="O312">
        <f t="shared" si="24"/>
        <v>0</v>
      </c>
      <c r="P312">
        <f t="shared" si="25"/>
        <v>1</v>
      </c>
      <c r="Q312">
        <f t="shared" si="26"/>
        <v>0</v>
      </c>
      <c r="R312">
        <f t="shared" si="27"/>
        <v>0</v>
      </c>
      <c r="S312">
        <f t="shared" si="28"/>
        <v>0</v>
      </c>
      <c r="T312">
        <f t="shared" si="29"/>
        <v>0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>
        <v>0</v>
      </c>
      <c r="L313" s="4"/>
      <c r="M313">
        <v>771129.07</v>
      </c>
      <c r="N313">
        <v>116851.13</v>
      </c>
      <c r="O313">
        <f t="shared" si="24"/>
        <v>0</v>
      </c>
      <c r="P313">
        <f t="shared" si="25"/>
        <v>1</v>
      </c>
      <c r="Q313">
        <f t="shared" si="26"/>
        <v>0</v>
      </c>
      <c r="R313">
        <f t="shared" si="27"/>
        <v>0</v>
      </c>
      <c r="S313">
        <f t="shared" si="28"/>
        <v>0</v>
      </c>
      <c r="T313">
        <f t="shared" si="29"/>
        <v>0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>
        <v>0</v>
      </c>
      <c r="L314" s="4">
        <v>3.4</v>
      </c>
      <c r="M314">
        <v>702052.47</v>
      </c>
      <c r="N314">
        <v>121732.51</v>
      </c>
      <c r="O314">
        <f t="shared" si="24"/>
        <v>1</v>
      </c>
      <c r="P314">
        <f t="shared" si="25"/>
        <v>0</v>
      </c>
      <c r="Q314">
        <f t="shared" si="26"/>
        <v>0</v>
      </c>
      <c r="R314">
        <f t="shared" si="27"/>
        <v>0</v>
      </c>
      <c r="S314">
        <f t="shared" si="28"/>
        <v>0</v>
      </c>
      <c r="T314">
        <f t="shared" si="29"/>
        <v>1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>
        <v>0</v>
      </c>
      <c r="L315" s="4"/>
      <c r="M315">
        <v>688368.46</v>
      </c>
      <c r="N315">
        <v>93588.42</v>
      </c>
      <c r="O315">
        <f t="shared" si="24"/>
        <v>1</v>
      </c>
      <c r="P315">
        <f t="shared" si="25"/>
        <v>0</v>
      </c>
      <c r="Q315">
        <f t="shared" si="26"/>
        <v>0</v>
      </c>
      <c r="R315">
        <f t="shared" si="27"/>
        <v>0</v>
      </c>
      <c r="S315">
        <f t="shared" si="28"/>
        <v>0</v>
      </c>
      <c r="T315">
        <f t="shared" si="29"/>
        <v>1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>
        <v>1</v>
      </c>
      <c r="L316" s="4">
        <v>3.9</v>
      </c>
      <c r="M316">
        <v>712375.77</v>
      </c>
      <c r="N316">
        <v>104171.53</v>
      </c>
      <c r="O316">
        <f t="shared" si="24"/>
        <v>1</v>
      </c>
      <c r="P316">
        <f t="shared" si="25"/>
        <v>0</v>
      </c>
      <c r="Q316">
        <f t="shared" si="26"/>
        <v>0</v>
      </c>
      <c r="R316">
        <f t="shared" si="27"/>
        <v>0</v>
      </c>
      <c r="S316">
        <f t="shared" si="28"/>
        <v>0</v>
      </c>
      <c r="T316">
        <f t="shared" si="29"/>
        <v>1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>
        <v>0</v>
      </c>
      <c r="L317" s="4">
        <v>4.2</v>
      </c>
      <c r="M317">
        <v>844710.67</v>
      </c>
      <c r="N317">
        <v>137140.18</v>
      </c>
      <c r="O317">
        <f t="shared" si="24"/>
        <v>1</v>
      </c>
      <c r="P317">
        <f t="shared" si="25"/>
        <v>0</v>
      </c>
      <c r="Q317">
        <f t="shared" si="26"/>
        <v>0</v>
      </c>
      <c r="R317">
        <f t="shared" si="27"/>
        <v>0</v>
      </c>
      <c r="S317">
        <f t="shared" si="28"/>
        <v>0</v>
      </c>
      <c r="T317">
        <f t="shared" si="29"/>
        <v>1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>
        <v>1</v>
      </c>
      <c r="L318" s="4">
        <v>4</v>
      </c>
      <c r="M318">
        <v>620264.19999999995</v>
      </c>
      <c r="N318">
        <v>91365.64</v>
      </c>
      <c r="O318">
        <f t="shared" si="24"/>
        <v>0</v>
      </c>
      <c r="P318">
        <f t="shared" si="25"/>
        <v>0</v>
      </c>
      <c r="Q318">
        <f t="shared" si="26"/>
        <v>0</v>
      </c>
      <c r="R318">
        <f t="shared" si="27"/>
        <v>0</v>
      </c>
      <c r="S318">
        <f t="shared" si="28"/>
        <v>0</v>
      </c>
      <c r="T318">
        <f t="shared" si="29"/>
        <v>1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>
        <v>0</v>
      </c>
      <c r="L319" s="4">
        <v>3.8</v>
      </c>
      <c r="M319">
        <v>536845.42000000004</v>
      </c>
      <c r="N319">
        <v>107473.75</v>
      </c>
      <c r="O319">
        <f t="shared" si="24"/>
        <v>0</v>
      </c>
      <c r="P319">
        <f t="shared" si="25"/>
        <v>0</v>
      </c>
      <c r="Q319">
        <f t="shared" si="26"/>
        <v>0</v>
      </c>
      <c r="R319">
        <f t="shared" si="27"/>
        <v>0</v>
      </c>
      <c r="S319">
        <f t="shared" si="28"/>
        <v>0</v>
      </c>
      <c r="T319">
        <f t="shared" si="29"/>
        <v>1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>
        <v>1</v>
      </c>
      <c r="L320" s="4">
        <v>4.2</v>
      </c>
      <c r="M320">
        <v>726776.22</v>
      </c>
      <c r="N320">
        <v>90804.49</v>
      </c>
      <c r="O320">
        <f t="shared" si="24"/>
        <v>0</v>
      </c>
      <c r="P320">
        <f t="shared" si="25"/>
        <v>0</v>
      </c>
      <c r="Q320">
        <f t="shared" si="26"/>
        <v>0</v>
      </c>
      <c r="R320">
        <f t="shared" si="27"/>
        <v>0</v>
      </c>
      <c r="S320">
        <f t="shared" si="28"/>
        <v>0</v>
      </c>
      <c r="T320">
        <f t="shared" si="29"/>
        <v>1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>
        <v>0</v>
      </c>
      <c r="L321" s="4">
        <v>4.0999999999999996</v>
      </c>
      <c r="M321">
        <v>559660.84</v>
      </c>
      <c r="N321">
        <v>71443.61</v>
      </c>
      <c r="O321">
        <f t="shared" si="24"/>
        <v>0</v>
      </c>
      <c r="P321">
        <f t="shared" si="25"/>
        <v>0</v>
      </c>
      <c r="Q321">
        <f t="shared" si="26"/>
        <v>0</v>
      </c>
      <c r="R321">
        <f t="shared" si="27"/>
        <v>0</v>
      </c>
      <c r="S321">
        <f t="shared" si="28"/>
        <v>0</v>
      </c>
      <c r="T321">
        <f t="shared" si="29"/>
        <v>1</v>
      </c>
    </row>
  </sheetData>
  <autoFilter ref="A1:T1" xr:uid="{1CC966B9-8EFE-4C5A-BEA8-F6271D118B0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9DB1-B8D3-451A-8378-88653E8CBC4B}">
  <dimension ref="A1:I18"/>
  <sheetViews>
    <sheetView workbookViewId="0">
      <selection activeCell="B6" sqref="B6"/>
    </sheetView>
  </sheetViews>
  <sheetFormatPr defaultRowHeight="15"/>
  <cols>
    <col min="1" max="1" width="18" bestFit="1" customWidth="1"/>
    <col min="2" max="2" width="12" bestFit="1" customWidth="1"/>
    <col min="3" max="3" width="14.5703125" bestFit="1" customWidth="1"/>
    <col min="4" max="5" width="12" bestFit="1" customWidth="1"/>
    <col min="6" max="6" width="13.42578125" bestFit="1" customWidth="1"/>
    <col min="7" max="7" width="12" bestFit="1" customWidth="1"/>
    <col min="8" max="8" width="12.42578125" bestFit="1" customWidth="1"/>
    <col min="9" max="9" width="12.5703125" bestFit="1" customWidth="1"/>
  </cols>
  <sheetData>
    <row r="1" spans="1:9">
      <c r="A1" t="s">
        <v>113</v>
      </c>
    </row>
    <row r="2" spans="1:9" ht="15.75" thickBot="1"/>
    <row r="3" spans="1:9">
      <c r="A3" s="8" t="s">
        <v>114</v>
      </c>
      <c r="B3" s="8"/>
    </row>
    <row r="4" spans="1:9">
      <c r="A4" t="s">
        <v>115</v>
      </c>
      <c r="B4">
        <v>0.40895561021322352</v>
      </c>
    </row>
    <row r="5" spans="1:9">
      <c r="A5" t="s">
        <v>116</v>
      </c>
      <c r="B5">
        <v>0.16724469112487</v>
      </c>
    </row>
    <row r="6" spans="1:9">
      <c r="A6" t="s">
        <v>117</v>
      </c>
      <c r="B6">
        <v>0.16462596373846999</v>
      </c>
    </row>
    <row r="7" spans="1:9">
      <c r="A7" t="s">
        <v>118</v>
      </c>
      <c r="B7">
        <v>94846.03383215853</v>
      </c>
    </row>
    <row r="8" spans="1:9" ht="15.75" thickBot="1">
      <c r="A8" s="6" t="s">
        <v>119</v>
      </c>
      <c r="B8" s="6">
        <v>320</v>
      </c>
    </row>
    <row r="10" spans="1:9" ht="15.75" thickBot="1">
      <c r="A10" t="s">
        <v>120</v>
      </c>
    </row>
    <row r="11" spans="1:9">
      <c r="A11" s="7"/>
      <c r="B11" s="7" t="s">
        <v>125</v>
      </c>
      <c r="C11" s="7" t="s">
        <v>126</v>
      </c>
      <c r="D11" s="7" t="s">
        <v>127</v>
      </c>
      <c r="E11" s="7" t="s">
        <v>128</v>
      </c>
      <c r="F11" s="7" t="s">
        <v>129</v>
      </c>
    </row>
    <row r="12" spans="1:9">
      <c r="A12" t="s">
        <v>121</v>
      </c>
      <c r="B12">
        <v>1</v>
      </c>
      <c r="C12">
        <v>574513714277.01416</v>
      </c>
      <c r="D12">
        <v>574513714277.01416</v>
      </c>
      <c r="E12">
        <v>63.864872683367629</v>
      </c>
      <c r="F12">
        <v>2.4800615101359619E-14</v>
      </c>
    </row>
    <row r="13" spans="1:9">
      <c r="A13" t="s">
        <v>122</v>
      </c>
      <c r="B13">
        <v>318</v>
      </c>
      <c r="C13">
        <v>2860654902513.7251</v>
      </c>
      <c r="D13">
        <v>8995770133.6909599</v>
      </c>
    </row>
    <row r="14" spans="1:9" ht="15.75" thickBot="1">
      <c r="A14" s="6" t="s">
        <v>123</v>
      </c>
      <c r="B14" s="6">
        <v>319</v>
      </c>
      <c r="C14" s="6">
        <v>3435168616790.7393</v>
      </c>
      <c r="D14" s="6"/>
      <c r="E14" s="6"/>
      <c r="F14" s="6"/>
    </row>
    <row r="15" spans="1:9" ht="15.75" thickBot="1"/>
    <row r="16" spans="1:9">
      <c r="A16" s="7"/>
      <c r="B16" s="7" t="s">
        <v>130</v>
      </c>
      <c r="C16" s="7" t="s">
        <v>118</v>
      </c>
      <c r="D16" s="7" t="s">
        <v>131</v>
      </c>
      <c r="E16" s="7" t="s">
        <v>132</v>
      </c>
      <c r="F16" s="7" t="s">
        <v>133</v>
      </c>
      <c r="G16" s="7" t="s">
        <v>134</v>
      </c>
      <c r="H16" s="7" t="s">
        <v>135</v>
      </c>
      <c r="I16" s="7" t="s">
        <v>136</v>
      </c>
    </row>
    <row r="17" spans="1:9">
      <c r="A17" t="s">
        <v>124</v>
      </c>
      <c r="B17">
        <v>560777.34544943704</v>
      </c>
      <c r="C17">
        <v>15906.905953068674</v>
      </c>
      <c r="D17">
        <v>35.253703460870398</v>
      </c>
      <c r="E17">
        <v>6.952876876284135E-112</v>
      </c>
      <c r="F17">
        <v>529481.27234763221</v>
      </c>
      <c r="G17">
        <v>592073.41855124186</v>
      </c>
      <c r="H17">
        <v>529481.27234763221</v>
      </c>
      <c r="I17">
        <v>592073.41855124186</v>
      </c>
    </row>
    <row r="18" spans="1:9" ht="15.75" thickBot="1">
      <c r="A18" s="6" t="s">
        <v>4</v>
      </c>
      <c r="B18" s="6">
        <v>2.1295753275898281</v>
      </c>
      <c r="C18" s="6">
        <v>0.26647838106932348</v>
      </c>
      <c r="D18" s="6">
        <v>7.991550080138869</v>
      </c>
      <c r="E18" s="6">
        <v>2.4800615101360068E-14</v>
      </c>
      <c r="F18" s="6">
        <v>1.6052919176921738</v>
      </c>
      <c r="G18" s="6">
        <v>2.6538587374874822</v>
      </c>
      <c r="H18" s="6">
        <v>1.6052919176921738</v>
      </c>
      <c r="I18" s="6">
        <v>2.6538587374874822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6CA3-0C48-4CE0-B6C7-04B87B1365CD}">
  <dimension ref="A1:I18"/>
  <sheetViews>
    <sheetView workbookViewId="0">
      <selection activeCell="B6" sqref="B6"/>
    </sheetView>
  </sheetViews>
  <sheetFormatPr defaultRowHeight="15"/>
  <cols>
    <col min="1" max="1" width="18" bestFit="1" customWidth="1"/>
    <col min="2" max="2" width="12" bestFit="1" customWidth="1"/>
    <col min="3" max="3" width="14.5703125" bestFit="1" customWidth="1"/>
    <col min="4" max="5" width="12" bestFit="1" customWidth="1"/>
    <col min="6" max="6" width="13.42578125" bestFit="1" customWidth="1"/>
    <col min="7" max="7" width="12" bestFit="1" customWidth="1"/>
    <col min="8" max="8" width="12.42578125" bestFit="1" customWidth="1"/>
    <col min="9" max="9" width="12.5703125" bestFit="1" customWidth="1"/>
  </cols>
  <sheetData>
    <row r="1" spans="1:9">
      <c r="A1" t="s">
        <v>113</v>
      </c>
    </row>
    <row r="2" spans="1:9" ht="15.75" thickBot="1"/>
    <row r="3" spans="1:9">
      <c r="A3" s="8" t="s">
        <v>114</v>
      </c>
      <c r="B3" s="8"/>
    </row>
    <row r="4" spans="1:9">
      <c r="A4" t="s">
        <v>115</v>
      </c>
      <c r="B4">
        <v>0.85807070804410468</v>
      </c>
    </row>
    <row r="5" spans="1:9">
      <c r="A5" t="s">
        <v>116</v>
      </c>
      <c r="B5">
        <v>0.73628534000331103</v>
      </c>
    </row>
    <row r="6" spans="1:9">
      <c r="A6" t="s">
        <v>117</v>
      </c>
      <c r="B6">
        <v>0.73545604861967373</v>
      </c>
    </row>
    <row r="7" spans="1:9">
      <c r="A7" t="s">
        <v>118</v>
      </c>
      <c r="B7">
        <v>53373.736380790499</v>
      </c>
    </row>
    <row r="8" spans="1:9" ht="15.75" thickBot="1">
      <c r="A8" s="6" t="s">
        <v>119</v>
      </c>
      <c r="B8" s="6">
        <v>320</v>
      </c>
    </row>
    <row r="10" spans="1:9" ht="15.75" thickBot="1">
      <c r="A10" t="s">
        <v>120</v>
      </c>
    </row>
    <row r="11" spans="1:9">
      <c r="A11" s="7"/>
      <c r="B11" s="7" t="s">
        <v>125</v>
      </c>
      <c r="C11" s="7" t="s">
        <v>126</v>
      </c>
      <c r="D11" s="7" t="s">
        <v>127</v>
      </c>
      <c r="E11" s="7" t="s">
        <v>128</v>
      </c>
      <c r="F11" s="7" t="s">
        <v>129</v>
      </c>
    </row>
    <row r="12" spans="1:9">
      <c r="A12" t="s">
        <v>121</v>
      </c>
      <c r="B12">
        <v>1</v>
      </c>
      <c r="C12">
        <v>2529264292982.4736</v>
      </c>
      <c r="D12">
        <v>2529264292982.4736</v>
      </c>
      <c r="E12">
        <v>887.84877611276033</v>
      </c>
      <c r="F12">
        <v>4.7503615090053331E-94</v>
      </c>
    </row>
    <row r="13" spans="1:9">
      <c r="A13" t="s">
        <v>122</v>
      </c>
      <c r="B13">
        <v>318</v>
      </c>
      <c r="C13">
        <v>905904323808.26587</v>
      </c>
      <c r="D13">
        <v>2848755735.246119</v>
      </c>
    </row>
    <row r="14" spans="1:9" ht="15.75" thickBot="1">
      <c r="A14" s="6" t="s">
        <v>123</v>
      </c>
      <c r="B14" s="6">
        <v>319</v>
      </c>
      <c r="C14" s="6">
        <v>3435168616790.7393</v>
      </c>
      <c r="D14" s="6"/>
      <c r="E14" s="6"/>
      <c r="F14" s="6"/>
    </row>
    <row r="15" spans="1:9" ht="15.75" thickBot="1"/>
    <row r="16" spans="1:9">
      <c r="A16" s="7"/>
      <c r="B16" s="7" t="s">
        <v>130</v>
      </c>
      <c r="C16" s="7" t="s">
        <v>118</v>
      </c>
      <c r="D16" s="7" t="s">
        <v>131</v>
      </c>
      <c r="E16" s="7" t="s">
        <v>132</v>
      </c>
      <c r="F16" s="7" t="s">
        <v>133</v>
      </c>
      <c r="G16" s="7" t="s">
        <v>134</v>
      </c>
      <c r="H16" s="7" t="s">
        <v>135</v>
      </c>
      <c r="I16" s="7" t="s">
        <v>136</v>
      </c>
    </row>
    <row r="17" spans="1:9">
      <c r="A17" t="s">
        <v>124</v>
      </c>
      <c r="B17">
        <v>446410.58293395344</v>
      </c>
      <c r="C17">
        <v>8407.7382630059928</v>
      </c>
      <c r="D17">
        <v>53.095204556754318</v>
      </c>
      <c r="E17">
        <v>4.0862695711507226E-160</v>
      </c>
      <c r="F17">
        <v>429868.76191129786</v>
      </c>
      <c r="G17">
        <v>462952.40395660902</v>
      </c>
      <c r="H17">
        <v>429868.76191129786</v>
      </c>
      <c r="I17">
        <v>462952.40395660902</v>
      </c>
    </row>
    <row r="18" spans="1:9" ht="15.75" thickBot="1">
      <c r="A18" s="6" t="s">
        <v>5</v>
      </c>
      <c r="B18" s="6">
        <v>35.678031072640458</v>
      </c>
      <c r="C18" s="6">
        <v>1.1973782890340821</v>
      </c>
      <c r="D18" s="6">
        <v>29.796791372776362</v>
      </c>
      <c r="E18" s="6">
        <v>4.7503615090054677E-94</v>
      </c>
      <c r="F18" s="6">
        <v>33.322246825554025</v>
      </c>
      <c r="G18" s="6">
        <v>38.033815319726891</v>
      </c>
      <c r="H18" s="6">
        <v>33.322246825554025</v>
      </c>
      <c r="I18" s="6">
        <v>38.033815319726891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AD99-0537-49CA-9A28-761C5420B13C}">
  <dimension ref="A1:I28"/>
  <sheetViews>
    <sheetView topLeftCell="A2" workbookViewId="0">
      <selection activeCell="B6" sqref="B6"/>
    </sheetView>
  </sheetViews>
  <sheetFormatPr defaultRowHeight="15"/>
  <cols>
    <col min="1" max="1" width="24.42578125" bestFit="1" customWidth="1"/>
    <col min="2" max="2" width="12.7109375" bestFit="1" customWidth="1"/>
    <col min="3" max="3" width="14.5703125" bestFit="1" customWidth="1"/>
    <col min="4" max="4" width="12.7109375" bestFit="1" customWidth="1"/>
    <col min="5" max="5" width="12" bestFit="1" customWidth="1"/>
    <col min="6" max="6" width="13.42578125" bestFit="1" customWidth="1"/>
    <col min="7" max="9" width="12.7109375" bestFit="1" customWidth="1"/>
  </cols>
  <sheetData>
    <row r="1" spans="1:9">
      <c r="A1" t="s">
        <v>113</v>
      </c>
    </row>
    <row r="2" spans="1:9" ht="15.75" thickBot="1"/>
    <row r="3" spans="1:9">
      <c r="A3" s="8" t="s">
        <v>114</v>
      </c>
      <c r="B3" s="8"/>
    </row>
    <row r="4" spans="1:9">
      <c r="A4" t="s">
        <v>115</v>
      </c>
      <c r="B4">
        <v>0.91129838303911881</v>
      </c>
    </row>
    <row r="5" spans="1:9">
      <c r="A5" t="s">
        <v>116</v>
      </c>
      <c r="B5">
        <v>0.83046474292971295</v>
      </c>
    </row>
    <row r="6" spans="1:9">
      <c r="A6" t="s">
        <v>117</v>
      </c>
      <c r="B6">
        <v>0.82440991232005933</v>
      </c>
    </row>
    <row r="7" spans="1:9">
      <c r="A7" t="s">
        <v>118</v>
      </c>
      <c r="B7">
        <v>43483.919797243696</v>
      </c>
    </row>
    <row r="8" spans="1:9" ht="15.75" thickBot="1">
      <c r="A8" s="6" t="s">
        <v>119</v>
      </c>
      <c r="B8" s="6">
        <v>320</v>
      </c>
    </row>
    <row r="10" spans="1:9" ht="15.75" thickBot="1">
      <c r="A10" t="s">
        <v>120</v>
      </c>
    </row>
    <row r="11" spans="1:9">
      <c r="A11" s="7"/>
      <c r="B11" s="7" t="s">
        <v>125</v>
      </c>
      <c r="C11" s="7" t="s">
        <v>126</v>
      </c>
      <c r="D11" s="7" t="s">
        <v>127</v>
      </c>
      <c r="E11" s="7" t="s">
        <v>128</v>
      </c>
      <c r="F11" s="7" t="s">
        <v>129</v>
      </c>
    </row>
    <row r="12" spans="1:9">
      <c r="A12" t="s">
        <v>121</v>
      </c>
      <c r="B12">
        <v>11</v>
      </c>
      <c r="C12">
        <v>2852786422263.3374</v>
      </c>
      <c r="D12">
        <v>259344220205.75793</v>
      </c>
      <c r="E12">
        <v>137.15738663369299</v>
      </c>
      <c r="F12">
        <v>1.2737418646546693E-111</v>
      </c>
    </row>
    <row r="13" spans="1:9">
      <c r="A13" t="s">
        <v>122</v>
      </c>
      <c r="B13">
        <v>308</v>
      </c>
      <c r="C13">
        <v>582382194527.40173</v>
      </c>
      <c r="D13">
        <v>1890851280.9331224</v>
      </c>
    </row>
    <row r="14" spans="1:9" ht="15.75" thickBot="1">
      <c r="A14" s="6" t="s">
        <v>123</v>
      </c>
      <c r="B14" s="6">
        <v>319</v>
      </c>
      <c r="C14" s="6">
        <v>3435168616790.7393</v>
      </c>
      <c r="D14" s="6"/>
      <c r="E14" s="6"/>
      <c r="F14" s="6"/>
    </row>
    <row r="15" spans="1:9" ht="15.75" thickBot="1"/>
    <row r="16" spans="1:9">
      <c r="A16" s="7"/>
      <c r="B16" s="7" t="s">
        <v>130</v>
      </c>
      <c r="C16" s="7" t="s">
        <v>118</v>
      </c>
      <c r="D16" s="7" t="s">
        <v>131</v>
      </c>
      <c r="E16" s="7" t="s">
        <v>132</v>
      </c>
      <c r="F16" s="7" t="s">
        <v>133</v>
      </c>
      <c r="G16" s="7" t="s">
        <v>134</v>
      </c>
      <c r="H16" s="7" t="s">
        <v>135</v>
      </c>
      <c r="I16" s="7" t="s">
        <v>136</v>
      </c>
    </row>
    <row r="17" spans="1:9">
      <c r="A17" t="s">
        <v>124</v>
      </c>
      <c r="B17">
        <v>114687.20195417348</v>
      </c>
      <c r="C17">
        <v>43194.285514061216</v>
      </c>
      <c r="D17">
        <v>2.6551475638331574</v>
      </c>
      <c r="E17">
        <v>8.3396183945189661E-3</v>
      </c>
      <c r="F17">
        <v>29693.978925886491</v>
      </c>
      <c r="G17">
        <v>199680.42498246045</v>
      </c>
      <c r="H17">
        <v>29693.978925886491</v>
      </c>
      <c r="I17">
        <v>199680.42498246045</v>
      </c>
    </row>
    <row r="18" spans="1:9">
      <c r="A18" t="s">
        <v>4</v>
      </c>
      <c r="B18">
        <v>1.1640701981955499</v>
      </c>
      <c r="C18">
        <v>0.12629058273030344</v>
      </c>
      <c r="D18">
        <v>9.2173950981083816</v>
      </c>
      <c r="E18">
        <v>4.9208599718970344E-18</v>
      </c>
      <c r="F18">
        <v>0.91556872313642945</v>
      </c>
      <c r="G18">
        <v>1.4125716732546703</v>
      </c>
      <c r="H18">
        <v>0.91556872313642945</v>
      </c>
      <c r="I18">
        <v>1.4125716732546703</v>
      </c>
    </row>
    <row r="19" spans="1:9">
      <c r="A19" t="s">
        <v>5</v>
      </c>
      <c r="B19">
        <v>28.703199214802233</v>
      </c>
      <c r="C19">
        <v>2.4797550393958629</v>
      </c>
      <c r="D19">
        <v>11.575013966619512</v>
      </c>
      <c r="E19">
        <v>5.7278658435267357E-26</v>
      </c>
      <c r="F19">
        <v>23.823795131355112</v>
      </c>
      <c r="G19">
        <v>33.582603298249353</v>
      </c>
      <c r="H19">
        <v>23.823795131355112</v>
      </c>
      <c r="I19">
        <v>33.582603298249353</v>
      </c>
    </row>
    <row r="20" spans="1:9">
      <c r="A20" t="s">
        <v>6</v>
      </c>
      <c r="B20">
        <v>-47096.984596047689</v>
      </c>
      <c r="C20">
        <v>36638.953600653993</v>
      </c>
      <c r="D20">
        <v>-1.2854347618488489</v>
      </c>
      <c r="E20">
        <v>0.19960608207521671</v>
      </c>
      <c r="F20">
        <v>-119191.3072093876</v>
      </c>
      <c r="G20">
        <v>24997.338017292212</v>
      </c>
      <c r="H20">
        <v>-119191.3072093876</v>
      </c>
      <c r="I20">
        <v>24997.338017292212</v>
      </c>
    </row>
    <row r="21" spans="1:9">
      <c r="A21" t="s">
        <v>7</v>
      </c>
      <c r="B21">
        <v>2853.2330005398444</v>
      </c>
      <c r="C21">
        <v>1254.2575199856694</v>
      </c>
      <c r="D21">
        <v>2.274838264930191</v>
      </c>
      <c r="E21">
        <v>2.3602818158673933E-2</v>
      </c>
      <c r="F21">
        <v>385.23548970371576</v>
      </c>
      <c r="G21">
        <v>5321.230511375973</v>
      </c>
      <c r="H21">
        <v>385.23548970371576</v>
      </c>
      <c r="I21">
        <v>5321.230511375973</v>
      </c>
    </row>
    <row r="22" spans="1:9">
      <c r="A22" t="s">
        <v>8</v>
      </c>
      <c r="B22">
        <v>2956.0468445394845</v>
      </c>
      <c r="C22">
        <v>459.62813990873059</v>
      </c>
      <c r="D22">
        <v>6.4313878717836408</v>
      </c>
      <c r="E22">
        <v>4.8193374405381068E-10</v>
      </c>
      <c r="F22">
        <v>2051.6383900317151</v>
      </c>
      <c r="G22">
        <v>3860.4552990472539</v>
      </c>
      <c r="H22">
        <v>2051.6383900317151</v>
      </c>
      <c r="I22">
        <v>3860.4552990472539</v>
      </c>
    </row>
    <row r="23" spans="1:9">
      <c r="A23" t="s">
        <v>107</v>
      </c>
      <c r="B23">
        <v>7700.568958379291</v>
      </c>
      <c r="C23">
        <v>7025.3530407738081</v>
      </c>
      <c r="D23">
        <v>1.0961113147889734</v>
      </c>
      <c r="E23">
        <v>0.27388637083720768</v>
      </c>
      <c r="F23">
        <v>-6123.1901509724221</v>
      </c>
      <c r="G23">
        <v>21524.328067731003</v>
      </c>
      <c r="H23">
        <v>-6123.1901509724221</v>
      </c>
      <c r="I23">
        <v>21524.328067731003</v>
      </c>
    </row>
    <row r="24" spans="1:9">
      <c r="A24" t="s">
        <v>108</v>
      </c>
      <c r="B24">
        <v>19440.625076710552</v>
      </c>
      <c r="C24">
        <v>7177.5201850392505</v>
      </c>
      <c r="D24">
        <v>2.7085434210596011</v>
      </c>
      <c r="E24">
        <v>7.1358027012174453E-3</v>
      </c>
      <c r="F24">
        <v>5317.4472855538115</v>
      </c>
      <c r="G24">
        <v>33563.802867867293</v>
      </c>
      <c r="H24">
        <v>5317.4472855538115</v>
      </c>
      <c r="I24">
        <v>33563.802867867293</v>
      </c>
    </row>
    <row r="25" spans="1:9">
      <c r="A25" t="s">
        <v>109</v>
      </c>
      <c r="B25">
        <v>18502.252230653587</v>
      </c>
      <c r="C25">
        <v>6281.1384581408056</v>
      </c>
      <c r="D25">
        <v>2.945684505119186</v>
      </c>
      <c r="E25">
        <v>3.4680942590043272E-3</v>
      </c>
      <c r="F25">
        <v>6142.8811821262443</v>
      </c>
      <c r="G25">
        <v>30861.623279180931</v>
      </c>
      <c r="H25">
        <v>6142.8811821262443</v>
      </c>
      <c r="I25">
        <v>30861.623279180931</v>
      </c>
    </row>
    <row r="26" spans="1:9">
      <c r="A26" t="s">
        <v>110</v>
      </c>
      <c r="B26">
        <v>21712.027185198876</v>
      </c>
      <c r="C26">
        <v>9310.3436694060565</v>
      </c>
      <c r="D26">
        <v>2.3320328396195467</v>
      </c>
      <c r="E26">
        <v>2.0343320610076033E-2</v>
      </c>
      <c r="F26">
        <v>3392.1011453011124</v>
      </c>
      <c r="G26">
        <v>40031.953225096644</v>
      </c>
      <c r="H26">
        <v>3392.1011453011124</v>
      </c>
      <c r="I26">
        <v>40031.953225096644</v>
      </c>
    </row>
    <row r="27" spans="1:9">
      <c r="A27" t="s">
        <v>111</v>
      </c>
      <c r="B27">
        <v>11909.77249836185</v>
      </c>
      <c r="C27">
        <v>6507.283574407239</v>
      </c>
      <c r="D27">
        <v>1.8302218371429639</v>
      </c>
      <c r="E27">
        <v>6.818305573429756E-2</v>
      </c>
      <c r="F27">
        <v>-894.58339190650986</v>
      </c>
      <c r="G27">
        <v>24714.128388630212</v>
      </c>
      <c r="H27">
        <v>-894.58339190650986</v>
      </c>
      <c r="I27">
        <v>24714.128388630212</v>
      </c>
    </row>
    <row r="28" spans="1:9" ht="15.75" thickBot="1">
      <c r="A28" s="6" t="s">
        <v>112</v>
      </c>
      <c r="B28" s="6">
        <v>-17398.209112943121</v>
      </c>
      <c r="C28" s="6">
        <v>5999.7700560079629</v>
      </c>
      <c r="D28" s="6">
        <v>-2.8998126512400511</v>
      </c>
      <c r="E28" s="6">
        <v>4.0023566206710218E-3</v>
      </c>
      <c r="F28" s="6">
        <v>-29203.93268076831</v>
      </c>
      <c r="G28" s="6">
        <v>-5592.4855451179301</v>
      </c>
      <c r="H28" s="6">
        <v>-29203.93268076831</v>
      </c>
      <c r="I28" s="6">
        <v>-5592.4855451179301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A815-078B-462B-8D71-72FBA953CA1B}">
  <dimension ref="A1:L321"/>
  <sheetViews>
    <sheetView workbookViewId="0">
      <selection activeCell="Q3" sqref="Q3"/>
    </sheetView>
  </sheetViews>
  <sheetFormatPr defaultRowHeight="15"/>
  <sheetData>
    <row r="1" spans="1:12" ht="60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  <c r="K1" s="3" t="s">
        <v>112</v>
      </c>
      <c r="L1" s="1" t="s">
        <v>12</v>
      </c>
    </row>
    <row r="2" spans="1:12">
      <c r="A2" s="4">
        <v>70389.11</v>
      </c>
      <c r="B2" s="4">
        <v>8302</v>
      </c>
      <c r="C2" s="4">
        <v>4.2000000000000003E-2</v>
      </c>
      <c r="D2" s="4">
        <v>17</v>
      </c>
      <c r="E2" s="4">
        <v>75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658832.62</v>
      </c>
    </row>
    <row r="3" spans="1:12">
      <c r="A3" s="4">
        <v>43827.89</v>
      </c>
      <c r="B3" s="4">
        <v>8487</v>
      </c>
      <c r="C3" s="4">
        <v>0.16800000000000001</v>
      </c>
      <c r="D3" s="4">
        <v>23</v>
      </c>
      <c r="E3" s="4">
        <v>84.4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634436</v>
      </c>
    </row>
    <row r="4" spans="1:12">
      <c r="A4" s="4">
        <v>59921.75</v>
      </c>
      <c r="B4" s="4">
        <v>9113</v>
      </c>
      <c r="C4" s="4">
        <v>0.13300000000000001</v>
      </c>
      <c r="D4" s="4">
        <v>20</v>
      </c>
      <c r="E4" s="4">
        <v>88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678722.06</v>
      </c>
    </row>
    <row r="5" spans="1:12">
      <c r="A5" s="4">
        <v>56856.63</v>
      </c>
      <c r="B5" s="4">
        <v>9431</v>
      </c>
      <c r="C5" s="4">
        <v>0.14199999999999999</v>
      </c>
      <c r="D5" s="4">
        <v>23</v>
      </c>
      <c r="E5" s="4">
        <v>86.9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658920.30000000005</v>
      </c>
    </row>
    <row r="6" spans="1:12">
      <c r="A6" s="4">
        <v>48412.639999999999</v>
      </c>
      <c r="B6" s="4">
        <v>9545</v>
      </c>
      <c r="C6" s="4">
        <v>0.23100000000000001</v>
      </c>
      <c r="D6" s="4">
        <v>21</v>
      </c>
      <c r="E6" s="4">
        <v>97.6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741341.44</v>
      </c>
    </row>
    <row r="7" spans="1:12">
      <c r="A7" s="4">
        <v>64811.21</v>
      </c>
      <c r="B7" s="4">
        <v>9792</v>
      </c>
      <c r="C7" s="4">
        <v>0.112</v>
      </c>
      <c r="D7" s="4">
        <v>20</v>
      </c>
      <c r="E7" s="4">
        <v>84.2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761835.34</v>
      </c>
    </row>
    <row r="8" spans="1:12">
      <c r="A8" s="4">
        <v>46213.45</v>
      </c>
      <c r="B8" s="4">
        <v>10616</v>
      </c>
      <c r="C8" s="4">
        <v>0.122</v>
      </c>
      <c r="D8" s="4">
        <v>22</v>
      </c>
      <c r="E8" s="4">
        <v>85.2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806615.54</v>
      </c>
    </row>
    <row r="9" spans="1:12">
      <c r="A9" s="4">
        <v>68148.52</v>
      </c>
      <c r="B9" s="4">
        <v>8567</v>
      </c>
      <c r="C9" s="4">
        <v>0.127</v>
      </c>
      <c r="D9" s="4">
        <v>23</v>
      </c>
      <c r="E9" s="4">
        <v>95.6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850164.26</v>
      </c>
    </row>
    <row r="10" spans="1:12">
      <c r="A10" s="4">
        <v>71838.86</v>
      </c>
      <c r="B10" s="4">
        <v>10979</v>
      </c>
      <c r="C10" s="4">
        <v>0.215</v>
      </c>
      <c r="D10" s="4">
        <v>26</v>
      </c>
      <c r="E10" s="4">
        <v>88.6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930581.7</v>
      </c>
    </row>
    <row r="11" spans="1:12">
      <c r="A11" s="4">
        <v>68133.440000000002</v>
      </c>
      <c r="B11" s="4">
        <v>9459</v>
      </c>
      <c r="C11" s="4">
        <v>0.22</v>
      </c>
      <c r="D11" s="4">
        <v>21</v>
      </c>
      <c r="E11" s="4">
        <v>85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779010.94</v>
      </c>
    </row>
    <row r="12" spans="1:12">
      <c r="A12" s="4">
        <v>34285.21</v>
      </c>
      <c r="B12" s="4">
        <v>9172</v>
      </c>
      <c r="C12" s="4">
        <v>0.21299999999999999</v>
      </c>
      <c r="D12" s="4">
        <v>22</v>
      </c>
      <c r="E12" s="4">
        <v>88.3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723060.76</v>
      </c>
    </row>
    <row r="13" spans="1:12">
      <c r="A13" s="4">
        <v>67979.88</v>
      </c>
      <c r="B13" s="4">
        <v>11230</v>
      </c>
      <c r="C13" s="4">
        <v>2E-3</v>
      </c>
      <c r="D13" s="4">
        <v>28</v>
      </c>
      <c r="E13" s="4">
        <v>85.3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910791.94</v>
      </c>
    </row>
    <row r="14" spans="1:12">
      <c r="A14" s="4">
        <v>71828.259999999995</v>
      </c>
      <c r="B14" s="4">
        <v>12775</v>
      </c>
      <c r="C14" s="4">
        <v>0.11600000000000001</v>
      </c>
      <c r="D14" s="4">
        <v>30</v>
      </c>
      <c r="E14" s="4">
        <v>81.7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922168.6</v>
      </c>
    </row>
    <row r="15" spans="1:12">
      <c r="A15" s="4">
        <v>55716.82</v>
      </c>
      <c r="B15" s="4">
        <v>10054</v>
      </c>
      <c r="C15" s="4">
        <v>0.14599999999999999</v>
      </c>
      <c r="D15" s="4">
        <v>24</v>
      </c>
      <c r="E15" s="4">
        <v>84.9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726606.28</v>
      </c>
    </row>
    <row r="16" spans="1:12">
      <c r="A16" s="4">
        <v>59909.51</v>
      </c>
      <c r="B16" s="4">
        <v>8895</v>
      </c>
      <c r="C16" s="4">
        <v>0.22800000000000001</v>
      </c>
      <c r="D16" s="4">
        <v>23</v>
      </c>
      <c r="E16" s="4">
        <v>88.8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746501.09</v>
      </c>
    </row>
    <row r="17" spans="1:12">
      <c r="A17" s="4">
        <v>75305.710000000006</v>
      </c>
      <c r="B17" s="4">
        <v>10940</v>
      </c>
      <c r="C17" s="4">
        <v>6.0000000000000001E-3</v>
      </c>
      <c r="D17" s="4">
        <v>26</v>
      </c>
      <c r="E17" s="4">
        <v>76.5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834017.02</v>
      </c>
    </row>
    <row r="18" spans="1:12">
      <c r="A18" s="4">
        <v>48804.22</v>
      </c>
      <c r="B18" s="4">
        <v>7057</v>
      </c>
      <c r="C18" s="4">
        <v>5.0000000000000001E-3</v>
      </c>
      <c r="D18" s="4">
        <v>15</v>
      </c>
      <c r="E18" s="4">
        <v>87.7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666152.52</v>
      </c>
    </row>
    <row r="19" spans="1:12">
      <c r="A19" s="4">
        <v>59117.9</v>
      </c>
      <c r="B19" s="4">
        <v>4263</v>
      </c>
      <c r="C19" s="4">
        <v>0.11899999999999999</v>
      </c>
      <c r="D19" s="4">
        <v>9</v>
      </c>
      <c r="E19" s="4">
        <v>87.6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573155.18999999994</v>
      </c>
    </row>
    <row r="20" spans="1:12">
      <c r="A20" s="4">
        <v>78831.12</v>
      </c>
      <c r="B20" s="4">
        <v>5538</v>
      </c>
      <c r="C20" s="4">
        <v>0</v>
      </c>
      <c r="D20" s="4">
        <v>15</v>
      </c>
      <c r="E20" s="4">
        <v>94.1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666573.19999999995</v>
      </c>
    </row>
    <row r="21" spans="1:12">
      <c r="A21" s="4">
        <v>41441.93</v>
      </c>
      <c r="B21" s="4">
        <v>4865</v>
      </c>
      <c r="C21" s="4">
        <v>0.158</v>
      </c>
      <c r="D21" s="4">
        <v>16</v>
      </c>
      <c r="E21" s="4">
        <v>88.3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591619.94999999995</v>
      </c>
    </row>
    <row r="22" spans="1:12">
      <c r="A22" s="4">
        <v>30356.28</v>
      </c>
      <c r="B22" s="4">
        <v>2822</v>
      </c>
      <c r="C22" s="4">
        <v>0.23100000000000001</v>
      </c>
      <c r="D22" s="4">
        <v>9</v>
      </c>
      <c r="E22" s="4">
        <v>84.8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415721.82</v>
      </c>
    </row>
    <row r="23" spans="1:12">
      <c r="A23" s="4">
        <v>33518.879999999997</v>
      </c>
      <c r="B23" s="4">
        <v>2121</v>
      </c>
      <c r="C23" s="4">
        <v>0.17599999999999999</v>
      </c>
      <c r="D23" s="4">
        <v>8</v>
      </c>
      <c r="E23" s="4">
        <v>88.5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491905.13</v>
      </c>
    </row>
    <row r="24" spans="1:12">
      <c r="A24" s="4">
        <v>42267.37</v>
      </c>
      <c r="B24" s="4">
        <v>3364</v>
      </c>
      <c r="C24" s="4">
        <v>0.16</v>
      </c>
      <c r="D24" s="4">
        <v>13</v>
      </c>
      <c r="E24" s="4">
        <v>82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555929.4</v>
      </c>
    </row>
    <row r="25" spans="1:12">
      <c r="A25" s="4">
        <v>62060.43</v>
      </c>
      <c r="B25" s="4">
        <v>2613</v>
      </c>
      <c r="C25" s="4">
        <v>0.216</v>
      </c>
      <c r="D25" s="4">
        <v>12</v>
      </c>
      <c r="E25" s="4">
        <v>92.1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565810.99</v>
      </c>
    </row>
    <row r="26" spans="1:12">
      <c r="A26" s="4">
        <v>57696.69</v>
      </c>
      <c r="B26" s="4">
        <v>10218</v>
      </c>
      <c r="C26" s="4">
        <v>0.121</v>
      </c>
      <c r="D26" s="4">
        <v>25</v>
      </c>
      <c r="E26" s="4">
        <v>94.8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811771.14</v>
      </c>
    </row>
    <row r="27" spans="1:12">
      <c r="A27" s="4">
        <v>172415.52</v>
      </c>
      <c r="B27" s="4">
        <v>8927</v>
      </c>
      <c r="C27" s="4">
        <v>0.14000000000000001</v>
      </c>
      <c r="D27" s="4">
        <v>22</v>
      </c>
      <c r="E27" s="4">
        <v>86.2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800451.94</v>
      </c>
    </row>
    <row r="28" spans="1:12">
      <c r="A28" s="4">
        <v>55270.52</v>
      </c>
      <c r="B28" s="4">
        <v>9315</v>
      </c>
      <c r="C28" s="4">
        <v>0.16900000000000001</v>
      </c>
      <c r="D28" s="4">
        <v>23</v>
      </c>
      <c r="E28" s="4">
        <v>91.9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783672.82</v>
      </c>
    </row>
    <row r="29" spans="1:12">
      <c r="A29" s="4">
        <v>52715.1</v>
      </c>
      <c r="B29" s="4">
        <v>7223</v>
      </c>
      <c r="C29" s="4">
        <v>0.122</v>
      </c>
      <c r="D29" s="4">
        <v>16</v>
      </c>
      <c r="E29" s="4">
        <v>84.2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701641.97</v>
      </c>
    </row>
    <row r="30" spans="1:12">
      <c r="A30" s="4">
        <v>68600.62</v>
      </c>
      <c r="B30" s="4">
        <v>3988</v>
      </c>
      <c r="C30" s="4">
        <v>0.124</v>
      </c>
      <c r="D30" s="4">
        <v>11</v>
      </c>
      <c r="E30" s="4">
        <v>85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511844.41</v>
      </c>
    </row>
    <row r="31" spans="1:12">
      <c r="A31" s="4">
        <v>63176.73</v>
      </c>
      <c r="B31" s="4">
        <v>2390</v>
      </c>
      <c r="C31" s="4">
        <v>0.216</v>
      </c>
      <c r="D31" s="4">
        <v>9</v>
      </c>
      <c r="E31" s="4">
        <v>87.5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537383.79</v>
      </c>
    </row>
    <row r="32" spans="1:12">
      <c r="A32" s="4">
        <v>44970.080000000002</v>
      </c>
      <c r="B32" s="4">
        <v>2471</v>
      </c>
      <c r="C32" s="4">
        <v>0.13600000000000001</v>
      </c>
      <c r="D32" s="4">
        <v>11</v>
      </c>
      <c r="E32" s="4">
        <v>87.6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500173.02</v>
      </c>
    </row>
    <row r="33" spans="1:12">
      <c r="A33" s="4">
        <v>69816.350000000006</v>
      </c>
      <c r="B33" s="4">
        <v>971</v>
      </c>
      <c r="C33" s="4">
        <v>0.16800000000000001</v>
      </c>
      <c r="D33" s="4">
        <v>5</v>
      </c>
      <c r="E33" s="4">
        <v>89.9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427917.38</v>
      </c>
    </row>
    <row r="34" spans="1:12">
      <c r="A34" s="4">
        <v>54597.83</v>
      </c>
      <c r="B34" s="4">
        <v>9429</v>
      </c>
      <c r="C34" s="4">
        <v>0.188</v>
      </c>
      <c r="D34" s="4">
        <v>21</v>
      </c>
      <c r="E34" s="4">
        <v>83.3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641865.03</v>
      </c>
    </row>
    <row r="35" spans="1:12">
      <c r="A35" s="4">
        <v>73771.91</v>
      </c>
      <c r="B35" s="4">
        <v>11695</v>
      </c>
      <c r="C35" s="4">
        <v>7.0000000000000007E-2</v>
      </c>
      <c r="D35" s="4">
        <v>25</v>
      </c>
      <c r="E35" s="4">
        <v>84.7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799477.76000000001</v>
      </c>
    </row>
    <row r="36" spans="1:12">
      <c r="A36" s="4">
        <v>74413.88</v>
      </c>
      <c r="B36" s="4">
        <v>9449</v>
      </c>
      <c r="C36" s="4">
        <v>3.9E-2</v>
      </c>
      <c r="D36" s="4">
        <v>23</v>
      </c>
      <c r="E36" s="4">
        <v>92.1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798952.17</v>
      </c>
    </row>
    <row r="37" spans="1:12">
      <c r="A37" s="4">
        <v>52483.77</v>
      </c>
      <c r="B37" s="4">
        <v>10453</v>
      </c>
      <c r="C37" s="4">
        <v>0.247</v>
      </c>
      <c r="D37" s="4">
        <v>25</v>
      </c>
      <c r="E37" s="4">
        <v>99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800979.78</v>
      </c>
    </row>
    <row r="38" spans="1:12">
      <c r="A38" s="4">
        <v>75269.87</v>
      </c>
      <c r="B38" s="4">
        <v>8838</v>
      </c>
      <c r="C38" s="4">
        <v>9.1999999999999998E-2</v>
      </c>
      <c r="D38" s="4">
        <v>21</v>
      </c>
      <c r="E38" s="4">
        <v>83.1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820593.93</v>
      </c>
    </row>
    <row r="39" spans="1:12">
      <c r="A39" s="4">
        <v>61245.41</v>
      </c>
      <c r="B39" s="4">
        <v>8156</v>
      </c>
      <c r="C39" s="4">
        <v>0.156</v>
      </c>
      <c r="D39" s="4">
        <v>19</v>
      </c>
      <c r="E39" s="4">
        <v>92.9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718330.53</v>
      </c>
    </row>
    <row r="40" spans="1:12">
      <c r="A40" s="4">
        <v>93381.26</v>
      </c>
      <c r="B40" s="4">
        <v>7562</v>
      </c>
      <c r="C40" s="4">
        <v>0.19800000000000001</v>
      </c>
      <c r="D40" s="4">
        <v>19</v>
      </c>
      <c r="E40" s="4">
        <v>82.9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736633.4</v>
      </c>
    </row>
    <row r="41" spans="1:12">
      <c r="A41" s="4">
        <v>65012.19</v>
      </c>
      <c r="B41" s="4">
        <v>9598</v>
      </c>
      <c r="C41" s="4">
        <v>8.5000000000000006E-2</v>
      </c>
      <c r="D41" s="4">
        <v>24</v>
      </c>
      <c r="E41" s="4">
        <v>98.3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828623.85</v>
      </c>
    </row>
    <row r="42" spans="1:12">
      <c r="A42" s="4">
        <v>40462.94</v>
      </c>
      <c r="B42" s="4">
        <v>3660</v>
      </c>
      <c r="C42" s="4">
        <v>0.218</v>
      </c>
      <c r="D42" s="4">
        <v>11</v>
      </c>
      <c r="E42" s="4">
        <v>95.2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592195.85</v>
      </c>
    </row>
    <row r="43" spans="1:12">
      <c r="A43" s="4">
        <v>46123.88</v>
      </c>
      <c r="B43" s="4">
        <v>3227</v>
      </c>
      <c r="C43" s="4">
        <v>0.14299999999999999</v>
      </c>
      <c r="D43" s="4">
        <v>10</v>
      </c>
      <c r="E43" s="4">
        <v>75.400000000000006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532644.46</v>
      </c>
    </row>
    <row r="44" spans="1:12">
      <c r="A44" s="4">
        <v>68077.539999999994</v>
      </c>
      <c r="B44" s="4">
        <v>3360</v>
      </c>
      <c r="C44" s="4">
        <v>0.128</v>
      </c>
      <c r="D44" s="4">
        <v>14</v>
      </c>
      <c r="E44" s="4">
        <v>88.2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657429.18000000005</v>
      </c>
    </row>
    <row r="45" spans="1:12">
      <c r="A45" s="4">
        <v>64882.14</v>
      </c>
      <c r="B45" s="4">
        <v>3642</v>
      </c>
      <c r="C45" s="4">
        <v>1.9E-2</v>
      </c>
      <c r="D45" s="4">
        <v>13</v>
      </c>
      <c r="E45" s="4">
        <v>87.8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605178</v>
      </c>
    </row>
    <row r="46" spans="1:12">
      <c r="A46" s="4">
        <v>138855.51</v>
      </c>
      <c r="B46" s="4">
        <v>5145</v>
      </c>
      <c r="C46" s="4">
        <v>0.06</v>
      </c>
      <c r="D46" s="4">
        <v>17</v>
      </c>
      <c r="E46" s="4">
        <v>88.2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>
        <v>595467.6</v>
      </c>
    </row>
    <row r="47" spans="1:12">
      <c r="A47" s="4">
        <v>63630.21</v>
      </c>
      <c r="B47" s="4">
        <v>4460</v>
      </c>
      <c r="C47" s="4">
        <v>0.23499999999999999</v>
      </c>
      <c r="D47" s="4">
        <v>14</v>
      </c>
      <c r="E47" s="4">
        <v>98.6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599603.4</v>
      </c>
    </row>
    <row r="48" spans="1:12">
      <c r="A48" s="4">
        <v>50043.65</v>
      </c>
      <c r="B48" s="4">
        <v>3804</v>
      </c>
      <c r="C48" s="4">
        <v>0.113</v>
      </c>
      <c r="D48" s="4">
        <v>11</v>
      </c>
      <c r="E48" s="4">
        <v>90.9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614800.09</v>
      </c>
    </row>
    <row r="49" spans="1:12">
      <c r="A49" s="4">
        <v>42093.84</v>
      </c>
      <c r="B49" s="4">
        <v>4074</v>
      </c>
      <c r="C49" s="4">
        <v>0.155</v>
      </c>
      <c r="D49" s="4">
        <v>15</v>
      </c>
      <c r="E49" s="4">
        <v>88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>
        <v>585365.73</v>
      </c>
    </row>
    <row r="50" spans="1:12">
      <c r="A50" s="4">
        <v>46624.05</v>
      </c>
      <c r="B50" s="4">
        <v>5104</v>
      </c>
      <c r="C50" s="4">
        <v>0.109</v>
      </c>
      <c r="D50" s="4">
        <v>11</v>
      </c>
      <c r="E50" s="4">
        <v>97.3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622811.74</v>
      </c>
    </row>
    <row r="51" spans="1:12">
      <c r="A51" s="4">
        <v>49710.29</v>
      </c>
      <c r="B51" s="4">
        <v>5559</v>
      </c>
      <c r="C51" s="4">
        <v>0.218</v>
      </c>
      <c r="D51" s="4">
        <v>14</v>
      </c>
      <c r="E51" s="4">
        <v>71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603297.56999999995</v>
      </c>
    </row>
    <row r="52" spans="1:12">
      <c r="A52" s="4">
        <v>48287.85</v>
      </c>
      <c r="B52" s="4">
        <v>5150</v>
      </c>
      <c r="C52" s="4">
        <v>8.0000000000000002E-3</v>
      </c>
      <c r="D52" s="4">
        <v>12</v>
      </c>
      <c r="E52" s="4">
        <v>80.400000000000006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625672.86</v>
      </c>
    </row>
    <row r="53" spans="1:12">
      <c r="A53" s="4">
        <v>65312.49</v>
      </c>
      <c r="B53" s="4">
        <v>7189</v>
      </c>
      <c r="C53" s="4">
        <v>0.05</v>
      </c>
      <c r="D53" s="4">
        <v>19</v>
      </c>
      <c r="E53" s="4">
        <v>93.7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773815.14</v>
      </c>
    </row>
    <row r="54" spans="1:12">
      <c r="A54" s="4">
        <v>53015.46</v>
      </c>
      <c r="B54" s="4">
        <v>3279</v>
      </c>
      <c r="C54" s="4">
        <v>8.6999999999999994E-2</v>
      </c>
      <c r="D54" s="4">
        <v>9</v>
      </c>
      <c r="E54" s="4">
        <v>84.3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463534.25</v>
      </c>
    </row>
    <row r="55" spans="1:12">
      <c r="A55" s="4">
        <v>99874.01</v>
      </c>
      <c r="B55" s="4">
        <v>5887</v>
      </c>
      <c r="C55" s="4">
        <v>0.26200000000000001</v>
      </c>
      <c r="D55" s="4">
        <v>14</v>
      </c>
      <c r="E55" s="4">
        <v>88.7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746677.75</v>
      </c>
    </row>
    <row r="56" spans="1:12">
      <c r="A56" s="4">
        <v>81195.5</v>
      </c>
      <c r="B56" s="4">
        <v>5516</v>
      </c>
      <c r="C56" s="4">
        <v>0.106</v>
      </c>
      <c r="D56" s="4">
        <v>14</v>
      </c>
      <c r="E56" s="4">
        <v>88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720852.5</v>
      </c>
    </row>
    <row r="57" spans="1:12">
      <c r="A57" s="4">
        <v>27808.6</v>
      </c>
      <c r="B57" s="4">
        <v>2863</v>
      </c>
      <c r="C57" s="4">
        <v>0.08</v>
      </c>
      <c r="D57" s="4">
        <v>13</v>
      </c>
      <c r="E57" s="4">
        <v>89.3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487464.91</v>
      </c>
    </row>
    <row r="58" spans="1:12">
      <c r="A58" s="4">
        <v>19365.060000000001</v>
      </c>
      <c r="B58" s="4">
        <v>2378</v>
      </c>
      <c r="C58" s="4">
        <v>0</v>
      </c>
      <c r="D58" s="4">
        <v>12</v>
      </c>
      <c r="E58" s="4">
        <v>94.8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518049.26</v>
      </c>
    </row>
    <row r="59" spans="1:12">
      <c r="A59" s="4">
        <v>59405.68</v>
      </c>
      <c r="B59" s="4">
        <v>2515</v>
      </c>
      <c r="C59" s="4">
        <v>3.9E-2</v>
      </c>
      <c r="D59" s="4">
        <v>12</v>
      </c>
      <c r="E59" s="4">
        <v>76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500298.48</v>
      </c>
    </row>
    <row r="60" spans="1:12">
      <c r="A60" s="4">
        <v>118910.48</v>
      </c>
      <c r="B60" s="4">
        <v>4022</v>
      </c>
      <c r="C60" s="4">
        <v>0.13700000000000001</v>
      </c>
      <c r="D60" s="4">
        <v>11</v>
      </c>
      <c r="E60" s="4">
        <v>87.1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617291.15</v>
      </c>
    </row>
    <row r="61" spans="1:12">
      <c r="A61" s="4">
        <v>52952.12</v>
      </c>
      <c r="B61" s="4">
        <v>4377</v>
      </c>
      <c r="C61" s="4">
        <v>9.1999999999999998E-2</v>
      </c>
      <c r="D61" s="4">
        <v>14</v>
      </c>
      <c r="E61" s="4">
        <v>88.6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553756.43000000005</v>
      </c>
    </row>
    <row r="62" spans="1:12">
      <c r="A62" s="4">
        <v>74907.98</v>
      </c>
      <c r="B62" s="4">
        <v>5306</v>
      </c>
      <c r="C62" s="4">
        <v>6.2E-2</v>
      </c>
      <c r="D62" s="4">
        <v>16</v>
      </c>
      <c r="E62" s="4">
        <v>95.6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749559.71</v>
      </c>
    </row>
    <row r="63" spans="1:12">
      <c r="A63" s="4">
        <v>37284.660000000003</v>
      </c>
      <c r="B63" s="4">
        <v>3928</v>
      </c>
      <c r="C63" s="4">
        <v>7.3999999999999996E-2</v>
      </c>
      <c r="D63" s="4">
        <v>12</v>
      </c>
      <c r="E63" s="4">
        <v>86.5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615966.48</v>
      </c>
    </row>
    <row r="64" spans="1:12">
      <c r="A64" s="4">
        <v>50343.19</v>
      </c>
      <c r="B64" s="4">
        <v>3845</v>
      </c>
      <c r="C64" s="4">
        <v>0.113</v>
      </c>
      <c r="D64" s="4">
        <v>9</v>
      </c>
      <c r="E64" s="4">
        <v>88.7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572011.19999999995</v>
      </c>
    </row>
    <row r="65" spans="1:12">
      <c r="A65" s="4">
        <v>74954.47</v>
      </c>
      <c r="B65" s="4">
        <v>6620</v>
      </c>
      <c r="C65" s="4">
        <v>5.3999999999999999E-2</v>
      </c>
      <c r="D65" s="4">
        <v>17</v>
      </c>
      <c r="E65" s="4">
        <v>91.1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761860.19</v>
      </c>
    </row>
    <row r="66" spans="1:12">
      <c r="A66" s="4">
        <v>70040.31</v>
      </c>
      <c r="B66" s="4">
        <v>9175</v>
      </c>
      <c r="C66" s="4">
        <v>0.107</v>
      </c>
      <c r="D66" s="4">
        <v>23</v>
      </c>
      <c r="E66" s="4">
        <v>95.1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784502.68</v>
      </c>
    </row>
    <row r="67" spans="1:12">
      <c r="A67" s="4">
        <v>51148.69</v>
      </c>
      <c r="B67" s="4">
        <v>7940</v>
      </c>
      <c r="C67" s="4">
        <v>0.156</v>
      </c>
      <c r="D67" s="4">
        <v>18</v>
      </c>
      <c r="E67" s="4">
        <v>93.3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717141.55</v>
      </c>
    </row>
    <row r="68" spans="1:12">
      <c r="A68" s="4">
        <v>79346.100000000006</v>
      </c>
      <c r="B68" s="4">
        <v>9628</v>
      </c>
      <c r="C68" s="4">
        <v>0.10199999999999999</v>
      </c>
      <c r="D68" s="4">
        <v>20</v>
      </c>
      <c r="E68" s="4">
        <v>99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685379.08</v>
      </c>
    </row>
    <row r="69" spans="1:12">
      <c r="A69" s="4">
        <v>42018.400000000001</v>
      </c>
      <c r="B69" s="4">
        <v>8296</v>
      </c>
      <c r="C69" s="4">
        <v>0.115</v>
      </c>
      <c r="D69" s="4">
        <v>17</v>
      </c>
      <c r="E69" s="4">
        <v>91.8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740496.65</v>
      </c>
    </row>
    <row r="70" spans="1:12">
      <c r="A70" s="4">
        <v>70937.240000000005</v>
      </c>
      <c r="B70" s="4">
        <v>3595</v>
      </c>
      <c r="C70" s="4">
        <v>0.14099999999999999</v>
      </c>
      <c r="D70" s="4">
        <v>11</v>
      </c>
      <c r="E70" s="4">
        <v>88.9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661927.14</v>
      </c>
    </row>
    <row r="71" spans="1:12">
      <c r="A71" s="4">
        <v>36813.449999999997</v>
      </c>
      <c r="B71" s="4">
        <v>2834</v>
      </c>
      <c r="C71" s="4">
        <v>0.191</v>
      </c>
      <c r="D71" s="4">
        <v>11</v>
      </c>
      <c r="E71" s="4">
        <v>81.8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479050.5</v>
      </c>
    </row>
    <row r="72" spans="1:12">
      <c r="A72" s="4">
        <v>60571.82</v>
      </c>
      <c r="B72" s="4">
        <v>3193</v>
      </c>
      <c r="C72" s="4">
        <v>0.19700000000000001</v>
      </c>
      <c r="D72" s="4">
        <v>7</v>
      </c>
      <c r="E72" s="4">
        <v>99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605023.87</v>
      </c>
    </row>
    <row r="73" spans="1:12">
      <c r="A73" s="4">
        <v>55081.16</v>
      </c>
      <c r="B73" s="4">
        <v>5485</v>
      </c>
      <c r="C73" s="4">
        <v>3.5999999999999997E-2</v>
      </c>
      <c r="D73" s="4">
        <v>12</v>
      </c>
      <c r="E73" s="4">
        <v>88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674774.09</v>
      </c>
    </row>
    <row r="74" spans="1:12">
      <c r="A74" s="4">
        <v>46201.46</v>
      </c>
      <c r="B74" s="4">
        <v>5918</v>
      </c>
      <c r="C74" s="4">
        <v>0.27700000000000002</v>
      </c>
      <c r="D74" s="4">
        <v>13</v>
      </c>
      <c r="E74" s="4">
        <v>78.8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616069.41</v>
      </c>
    </row>
    <row r="75" spans="1:12">
      <c r="A75" s="4">
        <v>53762.92</v>
      </c>
      <c r="B75" s="4">
        <v>6821</v>
      </c>
      <c r="C75" s="4">
        <v>6.6000000000000003E-2</v>
      </c>
      <c r="D75" s="4">
        <v>19</v>
      </c>
      <c r="E75" s="4">
        <v>94.6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630829.93999999994</v>
      </c>
    </row>
    <row r="76" spans="1:12">
      <c r="A76" s="4">
        <v>70144.78</v>
      </c>
      <c r="B76" s="4">
        <v>6806</v>
      </c>
      <c r="C76" s="4">
        <v>0.17799999999999999</v>
      </c>
      <c r="D76" s="4">
        <v>20</v>
      </c>
      <c r="E76" s="4">
        <v>93.1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788087.68</v>
      </c>
    </row>
    <row r="77" spans="1:12">
      <c r="A77" s="4">
        <v>58749.63</v>
      </c>
      <c r="B77" s="4">
        <v>8252</v>
      </c>
      <c r="C77" s="4">
        <v>0.20300000000000001</v>
      </c>
      <c r="D77" s="4">
        <v>20</v>
      </c>
      <c r="E77" s="4">
        <v>85.2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680840.36</v>
      </c>
    </row>
    <row r="78" spans="1:12">
      <c r="A78" s="4">
        <v>56973.18</v>
      </c>
      <c r="B78" s="4">
        <v>6662</v>
      </c>
      <c r="C78" s="4">
        <v>0.1</v>
      </c>
      <c r="D78" s="4">
        <v>15</v>
      </c>
      <c r="E78" s="4">
        <v>77.7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643657.47</v>
      </c>
    </row>
    <row r="79" spans="1:12">
      <c r="A79" s="4">
        <v>54872.82</v>
      </c>
      <c r="B79" s="4">
        <v>5962</v>
      </c>
      <c r="C79" s="4">
        <v>6.4000000000000001E-2</v>
      </c>
      <c r="D79" s="4">
        <v>12</v>
      </c>
      <c r="E79" s="4">
        <v>85.4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691112.6</v>
      </c>
    </row>
    <row r="80" spans="1:12">
      <c r="A80" s="4">
        <v>80562.81</v>
      </c>
      <c r="B80" s="4">
        <v>7470</v>
      </c>
      <c r="C80" s="4">
        <v>0.17199999999999999</v>
      </c>
      <c r="D80" s="4">
        <v>16</v>
      </c>
      <c r="E80" s="4">
        <v>83.5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776922.17</v>
      </c>
    </row>
    <row r="81" spans="1:12">
      <c r="A81" s="4">
        <v>77999.899999999994</v>
      </c>
      <c r="B81" s="4">
        <v>5974</v>
      </c>
      <c r="C81" s="4">
        <v>0.252</v>
      </c>
      <c r="D81" s="4">
        <v>14</v>
      </c>
      <c r="E81" s="4">
        <v>81.3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636561.34</v>
      </c>
    </row>
    <row r="82" spans="1:12">
      <c r="A82" s="4">
        <v>60881.01</v>
      </c>
      <c r="B82" s="4">
        <v>5410</v>
      </c>
      <c r="C82" s="4">
        <v>0.17899999999999999</v>
      </c>
      <c r="D82" s="4">
        <v>15</v>
      </c>
      <c r="E82" s="4">
        <v>83.9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>
        <v>621369.57999999996</v>
      </c>
    </row>
    <row r="83" spans="1:12">
      <c r="A83" s="4">
        <v>60628.38</v>
      </c>
      <c r="B83" s="4">
        <v>4451</v>
      </c>
      <c r="C83" s="4">
        <v>9.5000000000000001E-2</v>
      </c>
      <c r="D83" s="4">
        <v>10</v>
      </c>
      <c r="E83" s="4">
        <v>89.6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682208.01</v>
      </c>
    </row>
    <row r="84" spans="1:12">
      <c r="A84" s="4">
        <v>72731.14</v>
      </c>
      <c r="B84" s="4">
        <v>4644</v>
      </c>
      <c r="C84" s="4">
        <v>8.4000000000000005E-2</v>
      </c>
      <c r="D84" s="4">
        <v>15</v>
      </c>
      <c r="E84" s="4">
        <v>87.1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727241.86</v>
      </c>
    </row>
    <row r="85" spans="1:12">
      <c r="A85" s="4">
        <v>36475.71</v>
      </c>
      <c r="B85" s="4">
        <v>3559</v>
      </c>
      <c r="C85" s="4">
        <v>0.03</v>
      </c>
      <c r="D85" s="4">
        <v>8</v>
      </c>
      <c r="E85" s="4">
        <v>83.6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569100.78</v>
      </c>
    </row>
    <row r="86" spans="1:12">
      <c r="A86" s="4">
        <v>55388.11</v>
      </c>
      <c r="B86" s="4">
        <v>3091</v>
      </c>
      <c r="C86" s="4">
        <v>0.108</v>
      </c>
      <c r="D86" s="4">
        <v>7</v>
      </c>
      <c r="E86" s="4">
        <v>85.4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574436.29</v>
      </c>
    </row>
    <row r="87" spans="1:12">
      <c r="A87" s="4">
        <v>88443.77</v>
      </c>
      <c r="B87" s="4">
        <v>4004</v>
      </c>
      <c r="C87" s="4">
        <v>0.20599999999999999</v>
      </c>
      <c r="D87" s="4">
        <v>11</v>
      </c>
      <c r="E87" s="4">
        <v>91.9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611766.72</v>
      </c>
    </row>
    <row r="88" spans="1:12">
      <c r="A88" s="4">
        <v>78231.91</v>
      </c>
      <c r="B88" s="4">
        <v>3788</v>
      </c>
      <c r="C88" s="4">
        <v>5.8999999999999997E-2</v>
      </c>
      <c r="D88" s="4">
        <v>11</v>
      </c>
      <c r="E88" s="4">
        <v>88.5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614596.31999999995</v>
      </c>
    </row>
    <row r="89" spans="1:12">
      <c r="A89" s="4">
        <v>18996.32</v>
      </c>
      <c r="B89" s="4">
        <v>1260</v>
      </c>
      <c r="C89" s="4">
        <v>0.14499999999999999</v>
      </c>
      <c r="D89" s="4">
        <v>9</v>
      </c>
      <c r="E89" s="4">
        <v>86.4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450711.92</v>
      </c>
    </row>
    <row r="90" spans="1:12">
      <c r="A90" s="4">
        <v>50517.94</v>
      </c>
      <c r="B90" s="4">
        <v>7024</v>
      </c>
      <c r="C90" s="4">
        <v>2.9000000000000001E-2</v>
      </c>
      <c r="D90" s="4">
        <v>18</v>
      </c>
      <c r="E90" s="4">
        <v>79.2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711213.46</v>
      </c>
    </row>
    <row r="91" spans="1:12">
      <c r="A91" s="4">
        <v>141540.29</v>
      </c>
      <c r="B91" s="4">
        <v>5400</v>
      </c>
      <c r="C91" s="4">
        <v>1.2999999999999999E-2</v>
      </c>
      <c r="D91" s="4">
        <v>12</v>
      </c>
      <c r="E91" s="4">
        <v>87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627171.9</v>
      </c>
    </row>
    <row r="92" spans="1:12">
      <c r="A92" s="4">
        <v>82116.19</v>
      </c>
      <c r="B92" s="4">
        <v>5988</v>
      </c>
      <c r="C92" s="4">
        <v>0.04</v>
      </c>
      <c r="D92" s="4">
        <v>17</v>
      </c>
      <c r="E92" s="4">
        <v>91.8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>
        <v>739852.58</v>
      </c>
    </row>
    <row r="93" spans="1:12">
      <c r="A93" s="4">
        <v>31207.51</v>
      </c>
      <c r="B93" s="4">
        <v>3701</v>
      </c>
      <c r="C93" s="4">
        <v>4.2999999999999997E-2</v>
      </c>
      <c r="D93" s="4">
        <v>11</v>
      </c>
      <c r="E93" s="4">
        <v>84.7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>
        <v>586307.22</v>
      </c>
    </row>
    <row r="94" spans="1:12">
      <c r="A94" s="4">
        <v>38966.589999999997</v>
      </c>
      <c r="B94" s="4">
        <v>4509</v>
      </c>
      <c r="C94" s="4">
        <v>0.19400000000000001</v>
      </c>
      <c r="D94" s="4">
        <v>14</v>
      </c>
      <c r="E94" s="4">
        <v>91.1</v>
      </c>
      <c r="F94">
        <v>0</v>
      </c>
      <c r="G94">
        <v>0</v>
      </c>
      <c r="H94">
        <v>1</v>
      </c>
      <c r="I94">
        <v>0</v>
      </c>
      <c r="J94">
        <v>0</v>
      </c>
      <c r="K94">
        <v>1</v>
      </c>
      <c r="L94">
        <v>585937.48</v>
      </c>
    </row>
    <row r="95" spans="1:12">
      <c r="A95" s="4">
        <v>67439.3</v>
      </c>
      <c r="B95" s="4">
        <v>6477</v>
      </c>
      <c r="C95" s="4">
        <v>0</v>
      </c>
      <c r="D95" s="4">
        <v>16</v>
      </c>
      <c r="E95" s="4">
        <v>90.9</v>
      </c>
      <c r="F95">
        <v>0</v>
      </c>
      <c r="G95">
        <v>0</v>
      </c>
      <c r="H95">
        <v>1</v>
      </c>
      <c r="I95">
        <v>0</v>
      </c>
      <c r="J95">
        <v>0</v>
      </c>
      <c r="K95">
        <v>1</v>
      </c>
      <c r="L95">
        <v>753473.55</v>
      </c>
    </row>
    <row r="96" spans="1:12">
      <c r="A96" s="4">
        <v>86421.88</v>
      </c>
      <c r="B96" s="4">
        <v>7970</v>
      </c>
      <c r="C96" s="4">
        <v>7.2999999999999995E-2</v>
      </c>
      <c r="D96" s="4">
        <v>17</v>
      </c>
      <c r="E96" s="4">
        <v>91.3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838250.32</v>
      </c>
    </row>
    <row r="97" spans="1:12">
      <c r="A97" s="4">
        <v>9534.65</v>
      </c>
      <c r="B97" s="4">
        <v>6057</v>
      </c>
      <c r="C97" s="4">
        <v>7.3999999999999996E-2</v>
      </c>
      <c r="D97" s="4">
        <v>15</v>
      </c>
      <c r="E97" s="4">
        <v>94.1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  <c r="L97">
        <v>607898.12</v>
      </c>
    </row>
    <row r="98" spans="1:12">
      <c r="A98" s="4">
        <v>61132.07</v>
      </c>
      <c r="B98" s="4">
        <v>6394</v>
      </c>
      <c r="C98" s="4">
        <v>0.16300000000000001</v>
      </c>
      <c r="D98" s="4">
        <v>19</v>
      </c>
      <c r="E98" s="4">
        <v>91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691113.62</v>
      </c>
    </row>
    <row r="99" spans="1:12">
      <c r="A99" s="4">
        <v>78839.39</v>
      </c>
      <c r="B99" s="4">
        <v>5150</v>
      </c>
      <c r="C99" s="4">
        <v>0.17100000000000001</v>
      </c>
      <c r="D99" s="4">
        <v>13</v>
      </c>
      <c r="E99" s="4">
        <v>85.8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735509.4</v>
      </c>
    </row>
    <row r="100" spans="1:12">
      <c r="A100" s="4">
        <v>38752.800000000003</v>
      </c>
      <c r="B100" s="4">
        <v>4712</v>
      </c>
      <c r="C100" s="4">
        <v>7.4999999999999997E-2</v>
      </c>
      <c r="D100" s="4">
        <v>15</v>
      </c>
      <c r="E100" s="4">
        <v>89.7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605775.32999999996</v>
      </c>
    </row>
    <row r="101" spans="1:12">
      <c r="A101" s="4">
        <v>55101.1</v>
      </c>
      <c r="B101" s="4">
        <v>5281</v>
      </c>
      <c r="C101" s="4">
        <v>0.189</v>
      </c>
      <c r="D101" s="4">
        <v>11</v>
      </c>
      <c r="E101" s="4">
        <v>91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675177.68</v>
      </c>
    </row>
    <row r="102" spans="1:12">
      <c r="A102" s="4">
        <v>53084.76</v>
      </c>
      <c r="B102" s="4">
        <v>3642</v>
      </c>
      <c r="C102" s="4">
        <v>0.15</v>
      </c>
      <c r="D102" s="4">
        <v>12</v>
      </c>
      <c r="E102" s="4">
        <v>91.4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635181.35</v>
      </c>
    </row>
    <row r="103" spans="1:12">
      <c r="A103" s="4">
        <v>63101.59</v>
      </c>
      <c r="B103" s="4">
        <v>4373</v>
      </c>
      <c r="C103" s="4">
        <v>0.17299999999999999</v>
      </c>
      <c r="D103" s="4">
        <v>14</v>
      </c>
      <c r="E103" s="4">
        <v>90.4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586626.93999999994</v>
      </c>
    </row>
    <row r="104" spans="1:12">
      <c r="A104" s="4">
        <v>90084.4</v>
      </c>
      <c r="B104" s="4">
        <v>6832</v>
      </c>
      <c r="C104" s="4">
        <v>0.185</v>
      </c>
      <c r="D104" s="4">
        <v>14</v>
      </c>
      <c r="E104" s="4">
        <v>80.5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740102.64</v>
      </c>
    </row>
    <row r="105" spans="1:12">
      <c r="A105" s="4">
        <v>32266.639999999999</v>
      </c>
      <c r="B105" s="4">
        <v>2414</v>
      </c>
      <c r="C105" s="4">
        <v>0.08</v>
      </c>
      <c r="D105" s="4">
        <v>7</v>
      </c>
      <c r="E105" s="4">
        <v>92.1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625514.04</v>
      </c>
    </row>
    <row r="106" spans="1:12">
      <c r="A106" s="4">
        <v>57919.07</v>
      </c>
      <c r="B106" s="4">
        <v>7374</v>
      </c>
      <c r="C106" s="4">
        <v>0.10299999999999999</v>
      </c>
      <c r="D106" s="4">
        <v>21</v>
      </c>
      <c r="E106" s="4">
        <v>82.3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727227.2</v>
      </c>
    </row>
    <row r="107" spans="1:12">
      <c r="A107" s="4">
        <v>74679.350000000006</v>
      </c>
      <c r="B107" s="4">
        <v>8739</v>
      </c>
      <c r="C107" s="4">
        <v>5.6000000000000001E-2</v>
      </c>
      <c r="D107" s="4">
        <v>21</v>
      </c>
      <c r="E107" s="4">
        <v>91.8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783797.89</v>
      </c>
    </row>
    <row r="108" spans="1:12">
      <c r="A108" s="4">
        <v>64294.23</v>
      </c>
      <c r="B108" s="4">
        <v>6992</v>
      </c>
      <c r="C108" s="4">
        <v>0.13300000000000001</v>
      </c>
      <c r="D108" s="4">
        <v>14</v>
      </c>
      <c r="E108" s="4">
        <v>94.1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795153.84</v>
      </c>
    </row>
    <row r="109" spans="1:12">
      <c r="A109" s="4">
        <v>31042.03</v>
      </c>
      <c r="B109" s="4">
        <v>7107</v>
      </c>
      <c r="C109" s="4">
        <v>5.0999999999999997E-2</v>
      </c>
      <c r="D109" s="4">
        <v>15</v>
      </c>
      <c r="E109" s="4">
        <v>87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665594.93999999994</v>
      </c>
    </row>
    <row r="110" spans="1:12">
      <c r="A110" s="4">
        <v>75265.02</v>
      </c>
      <c r="B110" s="4">
        <v>6975</v>
      </c>
      <c r="C110" s="4">
        <v>0.157</v>
      </c>
      <c r="D110" s="4">
        <v>20</v>
      </c>
      <c r="E110" s="4">
        <v>73.8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709478.39</v>
      </c>
    </row>
    <row r="111" spans="1:12">
      <c r="A111" s="4">
        <v>69411.7</v>
      </c>
      <c r="B111" s="4">
        <v>5493</v>
      </c>
      <c r="C111" s="4">
        <v>0.29199999999999998</v>
      </c>
      <c r="D111" s="4">
        <v>13</v>
      </c>
      <c r="E111" s="4">
        <v>86.5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664162.49</v>
      </c>
    </row>
    <row r="112" spans="1:12">
      <c r="A112" s="4">
        <v>51056.15</v>
      </c>
      <c r="B112" s="4">
        <v>5686</v>
      </c>
      <c r="C112" s="4">
        <v>8.8999999999999996E-2</v>
      </c>
      <c r="D112" s="4">
        <v>13</v>
      </c>
      <c r="E112" s="4">
        <v>89.9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633494.21</v>
      </c>
    </row>
    <row r="113" spans="1:12">
      <c r="A113" s="4">
        <v>52758.01</v>
      </c>
      <c r="B113" s="4">
        <v>4063</v>
      </c>
      <c r="C113" s="4">
        <v>5.7000000000000002E-2</v>
      </c>
      <c r="D113" s="4">
        <v>12</v>
      </c>
      <c r="E113" s="4">
        <v>91.7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713611.16</v>
      </c>
    </row>
    <row r="114" spans="1:12">
      <c r="A114" s="4">
        <v>61426.04</v>
      </c>
      <c r="B114" s="4">
        <v>8966</v>
      </c>
      <c r="C114" s="4">
        <v>0.17299999999999999</v>
      </c>
      <c r="D114" s="4">
        <v>22</v>
      </c>
      <c r="E114" s="4">
        <v>76.400000000000006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778397.97</v>
      </c>
    </row>
    <row r="115" spans="1:12">
      <c r="A115" s="4">
        <v>80176.34</v>
      </c>
      <c r="B115" s="4">
        <v>9489</v>
      </c>
      <c r="C115" s="4">
        <v>0.14199999999999999</v>
      </c>
      <c r="D115" s="4">
        <v>22</v>
      </c>
      <c r="E115" s="4">
        <v>94.3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873380.02</v>
      </c>
    </row>
    <row r="116" spans="1:12">
      <c r="A116" s="4">
        <v>33605.18</v>
      </c>
      <c r="B116" s="4">
        <v>9225</v>
      </c>
      <c r="C116" s="4">
        <v>0.159</v>
      </c>
      <c r="D116" s="4">
        <v>23</v>
      </c>
      <c r="E116" s="4">
        <v>88.4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697287.9</v>
      </c>
    </row>
    <row r="117" spans="1:12">
      <c r="A117" s="4">
        <v>25990.54</v>
      </c>
      <c r="B117" s="4">
        <v>9249</v>
      </c>
      <c r="C117" s="4">
        <v>0.13900000000000001</v>
      </c>
      <c r="D117" s="4">
        <v>23</v>
      </c>
      <c r="E117" s="4">
        <v>92.5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718074.79</v>
      </c>
    </row>
    <row r="118" spans="1:12">
      <c r="A118" s="4">
        <v>43685.14</v>
      </c>
      <c r="B118" s="4">
        <v>7821</v>
      </c>
      <c r="C118" s="4">
        <v>0.19</v>
      </c>
      <c r="D118" s="4">
        <v>17</v>
      </c>
      <c r="E118" s="4">
        <v>91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714942.43</v>
      </c>
    </row>
    <row r="119" spans="1:12">
      <c r="A119" s="4">
        <v>57360.01</v>
      </c>
      <c r="B119" s="4">
        <v>8434</v>
      </c>
      <c r="C119" s="4">
        <v>0.151</v>
      </c>
      <c r="D119" s="4">
        <v>19</v>
      </c>
      <c r="E119" s="4">
        <v>84.1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1</v>
      </c>
      <c r="L119">
        <v>820519.04</v>
      </c>
    </row>
    <row r="120" spans="1:12">
      <c r="A120" s="4">
        <v>42415.47</v>
      </c>
      <c r="B120" s="4">
        <v>8512</v>
      </c>
      <c r="C120" s="4">
        <v>0.13300000000000001</v>
      </c>
      <c r="D120" s="4">
        <v>18</v>
      </c>
      <c r="E120" s="4">
        <v>96.8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684217.32</v>
      </c>
    </row>
    <row r="121" spans="1:12">
      <c r="A121" s="4">
        <v>54968.98</v>
      </c>
      <c r="B121" s="4">
        <v>7816</v>
      </c>
      <c r="C121" s="4">
        <v>0.23200000000000001</v>
      </c>
      <c r="D121" s="4">
        <v>19</v>
      </c>
      <c r="E121" s="4">
        <v>95.7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1</v>
      </c>
      <c r="L121">
        <v>735480.19</v>
      </c>
    </row>
    <row r="122" spans="1:12">
      <c r="A122" s="4">
        <v>43896.13</v>
      </c>
      <c r="B122" s="4">
        <v>3853</v>
      </c>
      <c r="C122" s="4">
        <v>8.7999999999999995E-2</v>
      </c>
      <c r="D122" s="4">
        <v>13</v>
      </c>
      <c r="E122" s="4">
        <v>83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509484.81</v>
      </c>
    </row>
    <row r="123" spans="1:12">
      <c r="A123" s="4">
        <v>83044.17</v>
      </c>
      <c r="B123" s="4">
        <v>3694</v>
      </c>
      <c r="C123" s="4">
        <v>0</v>
      </c>
      <c r="D123" s="4">
        <v>14</v>
      </c>
      <c r="E123" s="4">
        <v>89.4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654317.09</v>
      </c>
    </row>
    <row r="124" spans="1:12">
      <c r="A124" s="4">
        <v>48396.13</v>
      </c>
      <c r="B124" s="4">
        <v>4423</v>
      </c>
      <c r="C124" s="4">
        <v>6.9000000000000006E-2</v>
      </c>
      <c r="D124" s="4">
        <v>15</v>
      </c>
      <c r="E124" s="4">
        <v>85.7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557487.26</v>
      </c>
    </row>
    <row r="125" spans="1:12">
      <c r="A125" s="4">
        <v>19063.48</v>
      </c>
      <c r="B125" s="4">
        <v>1906</v>
      </c>
      <c r="C125" s="4">
        <v>0.216</v>
      </c>
      <c r="D125" s="4">
        <v>10</v>
      </c>
      <c r="E125" s="4">
        <v>97.8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441275.42</v>
      </c>
    </row>
    <row r="126" spans="1:12">
      <c r="A126" s="4">
        <v>61541.21</v>
      </c>
      <c r="B126" s="4">
        <v>10396</v>
      </c>
      <c r="C126" s="4">
        <v>0.123</v>
      </c>
      <c r="D126" s="4">
        <v>25</v>
      </c>
      <c r="E126" s="4">
        <v>88.1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914544.17</v>
      </c>
    </row>
    <row r="127" spans="1:12">
      <c r="A127" s="4">
        <v>44747</v>
      </c>
      <c r="B127" s="4">
        <v>11076</v>
      </c>
      <c r="C127" s="4">
        <v>0.17599999999999999</v>
      </c>
      <c r="D127" s="4">
        <v>27</v>
      </c>
      <c r="E127" s="4">
        <v>98.3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842439.67</v>
      </c>
    </row>
    <row r="128" spans="1:12">
      <c r="A128" s="4">
        <v>56517.9</v>
      </c>
      <c r="B128" s="4">
        <v>9574</v>
      </c>
      <c r="C128" s="4">
        <v>0.20399999999999999</v>
      </c>
      <c r="D128" s="4">
        <v>20</v>
      </c>
      <c r="E128" s="4">
        <v>88.2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842157.92</v>
      </c>
    </row>
    <row r="129" spans="1:12">
      <c r="A129" s="4">
        <v>37828.5</v>
      </c>
      <c r="B129" s="4">
        <v>8221</v>
      </c>
      <c r="C129" s="4">
        <v>9.6000000000000002E-2</v>
      </c>
      <c r="D129" s="4">
        <v>19</v>
      </c>
      <c r="E129" s="4">
        <v>81.5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697155.3</v>
      </c>
    </row>
    <row r="130" spans="1:12">
      <c r="A130" s="4">
        <v>66250.53</v>
      </c>
      <c r="B130" s="4">
        <v>10618</v>
      </c>
      <c r="C130" s="4">
        <v>0.14199999999999999</v>
      </c>
      <c r="D130" s="4">
        <v>27</v>
      </c>
      <c r="E130" s="4">
        <v>88.3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849018.3</v>
      </c>
    </row>
    <row r="131" spans="1:12">
      <c r="A131" s="4">
        <v>68410.929999999993</v>
      </c>
      <c r="B131" s="4">
        <v>10596</v>
      </c>
      <c r="C131" s="4">
        <v>0.20699999999999999</v>
      </c>
      <c r="D131" s="4">
        <v>25</v>
      </c>
      <c r="E131" s="4">
        <v>81.2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801830.35</v>
      </c>
    </row>
    <row r="132" spans="1:12">
      <c r="A132" s="4">
        <v>50735.63</v>
      </c>
      <c r="B132" s="4">
        <v>9619</v>
      </c>
      <c r="C132" s="4">
        <v>0.14399999999999999</v>
      </c>
      <c r="D132" s="4">
        <v>19</v>
      </c>
      <c r="E132" s="4">
        <v>93.8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725235.28</v>
      </c>
    </row>
    <row r="133" spans="1:12">
      <c r="A133" s="4">
        <v>66455.8</v>
      </c>
      <c r="B133" s="4">
        <v>10836</v>
      </c>
      <c r="C133" s="4">
        <v>8.8999999999999996E-2</v>
      </c>
      <c r="D133" s="4">
        <v>25</v>
      </c>
      <c r="E133" s="4">
        <v>85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811452.72</v>
      </c>
    </row>
    <row r="134" spans="1:12">
      <c r="A134" s="4">
        <v>70276.28</v>
      </c>
      <c r="B134" s="4">
        <v>3043</v>
      </c>
      <c r="C134" s="4">
        <v>7.9000000000000001E-2</v>
      </c>
      <c r="D134" s="4">
        <v>9</v>
      </c>
      <c r="E134" s="4">
        <v>87.9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527300.13</v>
      </c>
    </row>
    <row r="135" spans="1:12">
      <c r="A135" s="4">
        <v>22071.64</v>
      </c>
      <c r="B135" s="4">
        <v>1814</v>
      </c>
      <c r="C135" s="4">
        <v>0.19600000000000001</v>
      </c>
      <c r="D135" s="4">
        <v>8</v>
      </c>
      <c r="E135" s="4">
        <v>81.099999999999994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400831.65</v>
      </c>
    </row>
    <row r="136" spans="1:12">
      <c r="A136" s="4">
        <v>52285.45</v>
      </c>
      <c r="B136" s="4">
        <v>3618</v>
      </c>
      <c r="C136" s="4">
        <v>8.5999999999999993E-2</v>
      </c>
      <c r="D136" s="4">
        <v>11</v>
      </c>
      <c r="E136" s="4">
        <v>95.6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593247.25</v>
      </c>
    </row>
    <row r="137" spans="1:12">
      <c r="A137" s="4">
        <v>70366.759999999995</v>
      </c>
      <c r="B137" s="4">
        <v>1963</v>
      </c>
      <c r="C137" s="4">
        <v>0.182</v>
      </c>
      <c r="D137" s="4">
        <v>8</v>
      </c>
      <c r="E137" s="4">
        <v>89.8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529075.94999999995</v>
      </c>
    </row>
    <row r="138" spans="1:12">
      <c r="A138" s="4">
        <v>71320.66</v>
      </c>
      <c r="B138" s="4">
        <v>7888</v>
      </c>
      <c r="C138" s="4">
        <v>4.8000000000000001E-2</v>
      </c>
      <c r="D138" s="4">
        <v>20</v>
      </c>
      <c r="E138" s="4">
        <v>78.099999999999994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633638.03</v>
      </c>
    </row>
    <row r="139" spans="1:12">
      <c r="A139" s="4">
        <v>75109.67</v>
      </c>
      <c r="B139" s="4">
        <v>6244</v>
      </c>
      <c r="C139" s="4">
        <v>7.9000000000000001E-2</v>
      </c>
      <c r="D139" s="4">
        <v>15</v>
      </c>
      <c r="E139" s="4">
        <v>96.3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743348.84</v>
      </c>
    </row>
    <row r="140" spans="1:12">
      <c r="A140" s="4">
        <v>69779</v>
      </c>
      <c r="B140" s="4">
        <v>6544</v>
      </c>
      <c r="C140" s="4">
        <v>0.152</v>
      </c>
      <c r="D140" s="4">
        <v>18</v>
      </c>
      <c r="E140" s="4">
        <v>90.2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758827.64</v>
      </c>
    </row>
    <row r="141" spans="1:12">
      <c r="A141" s="4">
        <v>44211.95</v>
      </c>
      <c r="B141" s="4">
        <v>5465</v>
      </c>
      <c r="C141" s="4">
        <v>0.187</v>
      </c>
      <c r="D141" s="4">
        <v>12</v>
      </c>
      <c r="E141" s="4">
        <v>90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646559.71</v>
      </c>
    </row>
    <row r="142" spans="1:12">
      <c r="A142" s="4">
        <v>51430.31</v>
      </c>
      <c r="B142" s="4">
        <v>6427</v>
      </c>
      <c r="C142" s="4">
        <v>0.23400000000000001</v>
      </c>
      <c r="D142" s="4">
        <v>14</v>
      </c>
      <c r="E142" s="4">
        <v>88.8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715890.53</v>
      </c>
    </row>
    <row r="143" spans="1:12">
      <c r="A143" s="4">
        <v>45706.49</v>
      </c>
      <c r="B143" s="4">
        <v>6704</v>
      </c>
      <c r="C143" s="4">
        <v>3.7999999999999999E-2</v>
      </c>
      <c r="D143" s="4">
        <v>15</v>
      </c>
      <c r="E143" s="4">
        <v>94.2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715097.57</v>
      </c>
    </row>
    <row r="144" spans="1:12">
      <c r="A144" s="4">
        <v>44034.6</v>
      </c>
      <c r="B144" s="4">
        <v>5645</v>
      </c>
      <c r="C144" s="4">
        <v>6.9000000000000006E-2</v>
      </c>
      <c r="D144" s="4">
        <v>18</v>
      </c>
      <c r="E144" s="4">
        <v>88.5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682639.28</v>
      </c>
    </row>
    <row r="145" spans="1:12">
      <c r="A145" s="4">
        <v>50198.12</v>
      </c>
      <c r="B145" s="4">
        <v>6089</v>
      </c>
      <c r="C145" s="4">
        <v>0.182</v>
      </c>
      <c r="D145" s="4">
        <v>19</v>
      </c>
      <c r="E145" s="4">
        <v>94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695098.51</v>
      </c>
    </row>
    <row r="146" spans="1:12">
      <c r="A146" s="4">
        <v>70488.2</v>
      </c>
      <c r="B146" s="4">
        <v>4312</v>
      </c>
      <c r="C146" s="4">
        <v>0.16900000000000001</v>
      </c>
      <c r="D146" s="4">
        <v>12</v>
      </c>
      <c r="E146" s="4">
        <v>90.2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577732.56999999995</v>
      </c>
    </row>
    <row r="147" spans="1:12">
      <c r="A147" s="4">
        <v>50909.27</v>
      </c>
      <c r="B147" s="4">
        <v>3152</v>
      </c>
      <c r="C147" s="4">
        <v>0.06</v>
      </c>
      <c r="D147" s="4">
        <v>13</v>
      </c>
      <c r="E147" s="4">
        <v>93.7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537058.32999999996</v>
      </c>
    </row>
    <row r="148" spans="1:12">
      <c r="A148" s="4">
        <v>53351.7</v>
      </c>
      <c r="B148" s="4">
        <v>4259</v>
      </c>
      <c r="C148" s="4">
        <v>0.156</v>
      </c>
      <c r="D148" s="4">
        <v>15</v>
      </c>
      <c r="E148" s="4">
        <v>93.7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601568.87</v>
      </c>
    </row>
    <row r="149" spans="1:12">
      <c r="A149" s="4">
        <v>60322.400000000001</v>
      </c>
      <c r="B149" s="4">
        <v>3350</v>
      </c>
      <c r="C149" s="4">
        <v>0.108</v>
      </c>
      <c r="D149" s="4">
        <v>12</v>
      </c>
      <c r="E149" s="4">
        <v>89.4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570964.84</v>
      </c>
    </row>
    <row r="150" spans="1:12">
      <c r="A150" s="4">
        <v>51575.68</v>
      </c>
      <c r="B150" s="4">
        <v>5329</v>
      </c>
      <c r="C150" s="4">
        <v>4.7E-2</v>
      </c>
      <c r="D150" s="4">
        <v>17</v>
      </c>
      <c r="E150" s="4">
        <v>88.1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614024.91</v>
      </c>
    </row>
    <row r="151" spans="1:12">
      <c r="A151" s="4">
        <v>43319.94</v>
      </c>
      <c r="B151" s="4">
        <v>6551</v>
      </c>
      <c r="C151" s="4">
        <v>4.3999999999999997E-2</v>
      </c>
      <c r="D151" s="4">
        <v>13</v>
      </c>
      <c r="E151" s="4">
        <v>99</v>
      </c>
      <c r="F151">
        <v>0</v>
      </c>
      <c r="G151">
        <v>1</v>
      </c>
      <c r="H151">
        <v>0</v>
      </c>
      <c r="I151">
        <v>0</v>
      </c>
      <c r="J151">
        <v>1</v>
      </c>
      <c r="K151">
        <v>0</v>
      </c>
      <c r="L151">
        <v>712868.35</v>
      </c>
    </row>
    <row r="152" spans="1:12">
      <c r="A152" s="4">
        <v>47093.55</v>
      </c>
      <c r="B152" s="4">
        <v>5550</v>
      </c>
      <c r="C152" s="4">
        <v>0.1</v>
      </c>
      <c r="D152" s="4">
        <v>12</v>
      </c>
      <c r="E152" s="4">
        <v>95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696744.15</v>
      </c>
    </row>
    <row r="153" spans="1:12">
      <c r="A153" s="4">
        <v>71855.09</v>
      </c>
      <c r="B153" s="4">
        <v>5911</v>
      </c>
      <c r="C153" s="4">
        <v>0.19700000000000001</v>
      </c>
      <c r="D153" s="4">
        <v>15</v>
      </c>
      <c r="E153" s="4">
        <v>94.3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0</v>
      </c>
      <c r="L153">
        <v>725847.99</v>
      </c>
    </row>
    <row r="154" spans="1:12">
      <c r="A154" s="4">
        <v>75645.23</v>
      </c>
      <c r="B154" s="4">
        <v>9674</v>
      </c>
      <c r="C154" s="4">
        <v>0.23400000000000001</v>
      </c>
      <c r="D154" s="4">
        <v>21</v>
      </c>
      <c r="E154" s="4">
        <v>87.4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785028.25</v>
      </c>
    </row>
    <row r="155" spans="1:12">
      <c r="A155" s="4">
        <v>64374.75</v>
      </c>
      <c r="B155" s="4">
        <v>6740</v>
      </c>
      <c r="C155" s="4">
        <v>0.16900000000000001</v>
      </c>
      <c r="D155" s="4">
        <v>18</v>
      </c>
      <c r="E155" s="4">
        <v>87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698492.67</v>
      </c>
    </row>
    <row r="156" spans="1:12">
      <c r="A156" s="4">
        <v>61433.84</v>
      </c>
      <c r="B156" s="4">
        <v>7745</v>
      </c>
      <c r="C156" s="4">
        <v>0.18</v>
      </c>
      <c r="D156" s="4">
        <v>16</v>
      </c>
      <c r="E156" s="4">
        <v>90.5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685830.24</v>
      </c>
    </row>
    <row r="157" spans="1:12">
      <c r="A157" s="4">
        <v>42698.14</v>
      </c>
      <c r="B157" s="4">
        <v>7693</v>
      </c>
      <c r="C157" s="4">
        <v>0.187</v>
      </c>
      <c r="D157" s="4">
        <v>19</v>
      </c>
      <c r="E157" s="4">
        <v>90.1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702318.94</v>
      </c>
    </row>
    <row r="158" spans="1:12">
      <c r="A158" s="4">
        <v>86883.31</v>
      </c>
      <c r="B158" s="4">
        <v>6424</v>
      </c>
      <c r="C158" s="4">
        <v>5.7000000000000002E-2</v>
      </c>
      <c r="D158" s="4">
        <v>19</v>
      </c>
      <c r="E158" s="4">
        <v>85.2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700078.32</v>
      </c>
    </row>
    <row r="159" spans="1:12">
      <c r="A159" s="4">
        <v>41863.08</v>
      </c>
      <c r="B159" s="4">
        <v>5400</v>
      </c>
      <c r="C159" s="4">
        <v>0.114</v>
      </c>
      <c r="D159" s="4">
        <v>11</v>
      </c>
      <c r="E159" s="4">
        <v>91.6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602002.31999999995</v>
      </c>
    </row>
    <row r="160" spans="1:12">
      <c r="A160" s="4">
        <v>56918.16</v>
      </c>
      <c r="B160" s="4">
        <v>7015</v>
      </c>
      <c r="C160" s="4">
        <v>0.158</v>
      </c>
      <c r="D160" s="4">
        <v>18</v>
      </c>
      <c r="E160" s="4">
        <v>74.2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724216.07</v>
      </c>
    </row>
    <row r="161" spans="1:12">
      <c r="A161" s="4">
        <v>23254.57</v>
      </c>
      <c r="B161" s="4">
        <v>3847</v>
      </c>
      <c r="C161" s="4">
        <v>0.159</v>
      </c>
      <c r="D161" s="4">
        <v>12</v>
      </c>
      <c r="E161" s="4">
        <v>93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620973.03</v>
      </c>
    </row>
    <row r="162" spans="1:12">
      <c r="A162" s="4">
        <v>41443.410000000003</v>
      </c>
      <c r="B162" s="4">
        <v>7455</v>
      </c>
      <c r="C162" s="4">
        <v>0.17499999999999999</v>
      </c>
      <c r="D162" s="4">
        <v>16</v>
      </c>
      <c r="E162" s="4">
        <v>90.1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650480.06000000006</v>
      </c>
    </row>
    <row r="163" spans="1:12">
      <c r="A163" s="4">
        <v>48438.85</v>
      </c>
      <c r="B163" s="4">
        <v>6992</v>
      </c>
      <c r="C163" s="4">
        <v>3.4000000000000002E-2</v>
      </c>
      <c r="D163" s="4">
        <v>20</v>
      </c>
      <c r="E163" s="4">
        <v>91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778298.88</v>
      </c>
    </row>
    <row r="164" spans="1:12">
      <c r="A164" s="4">
        <v>57143.3</v>
      </c>
      <c r="B164" s="4">
        <v>8038</v>
      </c>
      <c r="C164" s="4">
        <v>0.193</v>
      </c>
      <c r="D164" s="4">
        <v>17</v>
      </c>
      <c r="E164" s="4">
        <v>72.599999999999994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677096.71</v>
      </c>
    </row>
    <row r="165" spans="1:12">
      <c r="A165" s="4">
        <v>66870.62</v>
      </c>
      <c r="B165" s="4">
        <v>6055</v>
      </c>
      <c r="C165" s="4">
        <v>7.4999999999999997E-2</v>
      </c>
      <c r="D165" s="4">
        <v>19</v>
      </c>
      <c r="E165" s="4">
        <v>93.8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692008.64</v>
      </c>
    </row>
    <row r="166" spans="1:12">
      <c r="A166" s="4">
        <v>72150.53</v>
      </c>
      <c r="B166" s="4">
        <v>9323</v>
      </c>
      <c r="C166" s="4">
        <v>0.157</v>
      </c>
      <c r="D166" s="4">
        <v>22</v>
      </c>
      <c r="E166" s="4">
        <v>82.9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825797.91</v>
      </c>
    </row>
    <row r="167" spans="1:12">
      <c r="A167" s="4">
        <v>35303.300000000003</v>
      </c>
      <c r="B167" s="4">
        <v>8789</v>
      </c>
      <c r="C167" s="4">
        <v>0.123</v>
      </c>
      <c r="D167" s="4">
        <v>22</v>
      </c>
      <c r="E167" s="4">
        <v>86.1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706285.52</v>
      </c>
    </row>
    <row r="168" spans="1:12">
      <c r="A168" s="4">
        <v>30301.86</v>
      </c>
      <c r="B168" s="4">
        <v>6939</v>
      </c>
      <c r="C168" s="4">
        <v>0.09</v>
      </c>
      <c r="D168" s="4">
        <v>16</v>
      </c>
      <c r="E168" s="4">
        <v>90.3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665534.69999999995</v>
      </c>
    </row>
    <row r="169" spans="1:12">
      <c r="A169" s="4">
        <v>78432.14</v>
      </c>
      <c r="B169" s="4">
        <v>9440</v>
      </c>
      <c r="C169" s="4">
        <v>0.126</v>
      </c>
      <c r="D169" s="4">
        <v>23</v>
      </c>
      <c r="E169" s="4">
        <v>89.2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820729.29</v>
      </c>
    </row>
    <row r="170" spans="1:12">
      <c r="A170" s="4">
        <v>62059.18</v>
      </c>
      <c r="B170" s="4">
        <v>9374</v>
      </c>
      <c r="C170" s="4">
        <v>0.13600000000000001</v>
      </c>
      <c r="D170" s="4">
        <v>25</v>
      </c>
      <c r="E170" s="4">
        <v>87.1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739831.73</v>
      </c>
    </row>
    <row r="171" spans="1:12">
      <c r="A171" s="4">
        <v>32834.480000000003</v>
      </c>
      <c r="B171" s="4">
        <v>7576</v>
      </c>
      <c r="C171" s="4">
        <v>9.9000000000000005E-2</v>
      </c>
      <c r="D171" s="4">
        <v>15</v>
      </c>
      <c r="E171" s="4">
        <v>84.1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593637.14</v>
      </c>
    </row>
    <row r="172" spans="1:12">
      <c r="A172" s="4">
        <v>50825.08</v>
      </c>
      <c r="B172" s="4">
        <v>8949</v>
      </c>
      <c r="C172" s="4">
        <v>0.157</v>
      </c>
      <c r="D172" s="4">
        <v>21</v>
      </c>
      <c r="E172" s="4">
        <v>84.7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769702.76</v>
      </c>
    </row>
    <row r="173" spans="1:12">
      <c r="A173" s="4">
        <v>36606.51</v>
      </c>
      <c r="B173" s="4">
        <v>7671</v>
      </c>
      <c r="C173" s="4">
        <v>0.11799999999999999</v>
      </c>
      <c r="D173" s="4">
        <v>18</v>
      </c>
      <c r="E173" s="4">
        <v>89.8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679731.57</v>
      </c>
    </row>
    <row r="174" spans="1:12">
      <c r="A174" s="4">
        <v>65237.79</v>
      </c>
      <c r="B174" s="4">
        <v>8741</v>
      </c>
      <c r="C174" s="4">
        <v>0.157</v>
      </c>
      <c r="D174" s="4">
        <v>20</v>
      </c>
      <c r="E174" s="4">
        <v>94.4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780344.18</v>
      </c>
    </row>
    <row r="175" spans="1:12">
      <c r="A175" s="4">
        <v>43645.98</v>
      </c>
      <c r="B175" s="4">
        <v>9480</v>
      </c>
      <c r="C175" s="4">
        <v>0.109</v>
      </c>
      <c r="D175" s="4">
        <v>22</v>
      </c>
      <c r="E175" s="4">
        <v>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721364.11</v>
      </c>
    </row>
    <row r="176" spans="1:12">
      <c r="A176" s="4">
        <v>68040.149999999994</v>
      </c>
      <c r="B176" s="4">
        <v>9826</v>
      </c>
      <c r="C176" s="4">
        <v>0.125</v>
      </c>
      <c r="D176" s="4">
        <v>20</v>
      </c>
      <c r="E176" s="4">
        <v>83.9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758138.29</v>
      </c>
    </row>
    <row r="177" spans="1:12">
      <c r="A177" s="4">
        <v>63043.94</v>
      </c>
      <c r="B177" s="4">
        <v>10402</v>
      </c>
      <c r="C177" s="4">
        <v>0.159</v>
      </c>
      <c r="D177" s="4">
        <v>23</v>
      </c>
      <c r="E177" s="4">
        <v>93.9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804264</v>
      </c>
    </row>
    <row r="178" spans="1:12">
      <c r="A178" s="4">
        <v>67494.09</v>
      </c>
      <c r="B178" s="4">
        <v>12361</v>
      </c>
      <c r="C178" s="4">
        <v>4.5999999999999999E-2</v>
      </c>
      <c r="D178" s="4">
        <v>24</v>
      </c>
      <c r="E178" s="4">
        <v>76.599999999999994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887537.75</v>
      </c>
    </row>
    <row r="179" spans="1:12">
      <c r="A179" s="4">
        <v>29389.32</v>
      </c>
      <c r="B179" s="4">
        <v>7925</v>
      </c>
      <c r="C179" s="4">
        <v>0.17699999999999999</v>
      </c>
      <c r="D179" s="4">
        <v>21</v>
      </c>
      <c r="E179" s="4">
        <v>90.9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783582</v>
      </c>
    </row>
    <row r="180" spans="1:12">
      <c r="A180" s="4">
        <v>40535.089999999997</v>
      </c>
      <c r="B180" s="4">
        <v>8870</v>
      </c>
      <c r="C180" s="4">
        <v>4.1000000000000002E-2</v>
      </c>
      <c r="D180" s="4">
        <v>21</v>
      </c>
      <c r="E180" s="4">
        <v>86.6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781955.52</v>
      </c>
    </row>
    <row r="181" spans="1:12">
      <c r="A181" s="4">
        <v>74881.56</v>
      </c>
      <c r="B181" s="4">
        <v>9999</v>
      </c>
      <c r="C181" s="4">
        <v>1.2999999999999999E-2</v>
      </c>
      <c r="D181" s="4">
        <v>20</v>
      </c>
      <c r="E181" s="4">
        <v>89.6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898031.04</v>
      </c>
    </row>
    <row r="182" spans="1:12">
      <c r="A182" s="4">
        <v>68491.11</v>
      </c>
      <c r="B182" s="4">
        <v>11154</v>
      </c>
      <c r="C182" s="4">
        <v>1E-3</v>
      </c>
      <c r="D182" s="4">
        <v>24</v>
      </c>
      <c r="E182" s="4">
        <v>89.4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855341.28</v>
      </c>
    </row>
    <row r="183" spans="1:12">
      <c r="A183" s="4">
        <v>45209.25</v>
      </c>
      <c r="B183" s="4">
        <v>9287</v>
      </c>
      <c r="C183" s="4">
        <v>0.14099999999999999</v>
      </c>
      <c r="D183" s="4">
        <v>22</v>
      </c>
      <c r="E183" s="4">
        <v>86.4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751393.88</v>
      </c>
    </row>
    <row r="184" spans="1:12">
      <c r="A184" s="4">
        <v>63010.23</v>
      </c>
      <c r="B184" s="4">
        <v>9812</v>
      </c>
      <c r="C184" s="4">
        <v>0.113</v>
      </c>
      <c r="D184" s="4">
        <v>24</v>
      </c>
      <c r="E184" s="4">
        <v>76.8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761077.08</v>
      </c>
    </row>
    <row r="185" spans="1:12">
      <c r="A185" s="4">
        <v>57948.88</v>
      </c>
      <c r="B185" s="4">
        <v>10741</v>
      </c>
      <c r="C185" s="4">
        <v>7.0000000000000007E-2</v>
      </c>
      <c r="D185" s="4">
        <v>25</v>
      </c>
      <c r="E185" s="4">
        <v>90.1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819660.59</v>
      </c>
    </row>
    <row r="186" spans="1:12">
      <c r="A186" s="4">
        <v>71941.62</v>
      </c>
      <c r="B186" s="4">
        <v>6084</v>
      </c>
      <c r="C186" s="4">
        <v>7.1999999999999995E-2</v>
      </c>
      <c r="D186" s="4">
        <v>13</v>
      </c>
      <c r="E186" s="4">
        <v>93.7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681855.56</v>
      </c>
    </row>
    <row r="187" spans="1:12">
      <c r="A187" s="4">
        <v>57147.88</v>
      </c>
      <c r="B187" s="4">
        <v>5252</v>
      </c>
      <c r="C187" s="4">
        <v>0.161</v>
      </c>
      <c r="D187" s="4">
        <v>15</v>
      </c>
      <c r="E187" s="4">
        <v>95.5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678311.17</v>
      </c>
    </row>
    <row r="188" spans="1:12">
      <c r="A188" s="4">
        <v>48031.74</v>
      </c>
      <c r="B188" s="4">
        <v>6516</v>
      </c>
      <c r="C188" s="4">
        <v>6.7000000000000004E-2</v>
      </c>
      <c r="D188" s="4">
        <v>14</v>
      </c>
      <c r="E188" s="4">
        <v>99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765906.95</v>
      </c>
    </row>
    <row r="189" spans="1:12">
      <c r="A189" s="4">
        <v>72784.800000000003</v>
      </c>
      <c r="B189" s="4">
        <v>7932</v>
      </c>
      <c r="C189" s="4">
        <v>9.4E-2</v>
      </c>
      <c r="D189" s="4">
        <v>20</v>
      </c>
      <c r="E189" s="4">
        <v>74.900000000000006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712546.38</v>
      </c>
    </row>
    <row r="190" spans="1:12">
      <c r="A190" s="4">
        <v>71641.899999999994</v>
      </c>
      <c r="B190" s="4">
        <v>3506</v>
      </c>
      <c r="C190" s="4">
        <v>0</v>
      </c>
      <c r="D190" s="4">
        <v>11</v>
      </c>
      <c r="E190" s="4">
        <v>86.4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625993.82999999996</v>
      </c>
    </row>
    <row r="191" spans="1:12">
      <c r="A191" s="4">
        <v>55788.61</v>
      </c>
      <c r="B191" s="4">
        <v>2312</v>
      </c>
      <c r="C191" s="4">
        <v>5.8000000000000003E-2</v>
      </c>
      <c r="D191" s="4">
        <v>10</v>
      </c>
      <c r="E191" s="4">
        <v>91.3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550962.93000000005</v>
      </c>
    </row>
    <row r="192" spans="1:12">
      <c r="A192" s="4">
        <v>37705.879999999997</v>
      </c>
      <c r="B192" s="4">
        <v>1268</v>
      </c>
      <c r="C192" s="4">
        <v>0.25900000000000001</v>
      </c>
      <c r="D192" s="4">
        <v>9</v>
      </c>
      <c r="E192" s="4">
        <v>84.1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443275.59</v>
      </c>
    </row>
    <row r="193" spans="1:12">
      <c r="A193" s="4">
        <v>54966.18</v>
      </c>
      <c r="B193" s="4">
        <v>4423</v>
      </c>
      <c r="C193" s="4">
        <v>0.186</v>
      </c>
      <c r="D193" s="4">
        <v>13</v>
      </c>
      <c r="E193" s="4">
        <v>88.7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554012.06999999995</v>
      </c>
    </row>
    <row r="194" spans="1:12">
      <c r="A194" s="4">
        <v>81796.740000000005</v>
      </c>
      <c r="B194" s="4">
        <v>6177</v>
      </c>
      <c r="C194" s="4">
        <v>0.16400000000000001</v>
      </c>
      <c r="D194" s="4">
        <v>14</v>
      </c>
      <c r="E194" s="4">
        <v>87.9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>
        <v>643428.85</v>
      </c>
    </row>
    <row r="195" spans="1:12">
      <c r="A195" s="4">
        <v>51133.43</v>
      </c>
      <c r="B195" s="4">
        <v>5150</v>
      </c>
      <c r="C195" s="4">
        <v>0.15</v>
      </c>
      <c r="D195" s="4">
        <v>12</v>
      </c>
      <c r="E195" s="4">
        <v>88.5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611924.27</v>
      </c>
    </row>
    <row r="196" spans="1:12">
      <c r="A196" s="4">
        <v>40220.18</v>
      </c>
      <c r="B196" s="4">
        <v>3783</v>
      </c>
      <c r="C196" s="4">
        <v>8.8999999999999996E-2</v>
      </c>
      <c r="D196" s="4">
        <v>14</v>
      </c>
      <c r="E196" s="4">
        <v>86.6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559422.02</v>
      </c>
    </row>
    <row r="197" spans="1:12">
      <c r="A197" s="4">
        <v>41657.64</v>
      </c>
      <c r="B197" s="4">
        <v>3135</v>
      </c>
      <c r="C197" s="4">
        <v>0.22900000000000001</v>
      </c>
      <c r="D197" s="4">
        <v>7</v>
      </c>
      <c r="E197" s="4">
        <v>85.4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449465.06</v>
      </c>
    </row>
    <row r="198" spans="1:12">
      <c r="A198" s="4">
        <v>71851.45</v>
      </c>
      <c r="B198" s="4">
        <v>4970</v>
      </c>
      <c r="C198" s="4">
        <v>9.8000000000000004E-2</v>
      </c>
      <c r="D198" s="4">
        <v>11</v>
      </c>
      <c r="E198" s="4">
        <v>89.6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691447.43</v>
      </c>
    </row>
    <row r="199" spans="1:12">
      <c r="A199" s="4">
        <v>54002.83</v>
      </c>
      <c r="B199" s="4">
        <v>4366</v>
      </c>
      <c r="C199" s="4">
        <v>2.7E-2</v>
      </c>
      <c r="D199" s="4">
        <v>15</v>
      </c>
      <c r="E199" s="4">
        <v>90.6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574066.61</v>
      </c>
    </row>
    <row r="200" spans="1:12">
      <c r="A200" s="4">
        <v>54479.33</v>
      </c>
      <c r="B200" s="4">
        <v>5012</v>
      </c>
      <c r="C200" s="4">
        <v>0.28399999999999997</v>
      </c>
      <c r="D200" s="4">
        <v>13</v>
      </c>
      <c r="E200" s="4">
        <v>86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578949.84</v>
      </c>
    </row>
    <row r="201" spans="1:12">
      <c r="A201" s="4">
        <v>61391.8</v>
      </c>
      <c r="B201" s="4">
        <v>5575</v>
      </c>
      <c r="C201" s="4">
        <v>0.189</v>
      </c>
      <c r="D201" s="4">
        <v>18</v>
      </c>
      <c r="E201" s="4">
        <v>90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735786.64</v>
      </c>
    </row>
    <row r="202" spans="1:12">
      <c r="A202" s="4">
        <v>22312.93</v>
      </c>
      <c r="B202" s="4">
        <v>5955</v>
      </c>
      <c r="C202" s="4">
        <v>0.123</v>
      </c>
      <c r="D202" s="4">
        <v>13</v>
      </c>
      <c r="E202" s="4">
        <v>84.2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598904.9</v>
      </c>
    </row>
    <row r="203" spans="1:12">
      <c r="A203" s="4">
        <v>78111.97</v>
      </c>
      <c r="B203" s="4">
        <v>6389</v>
      </c>
      <c r="C203" s="4">
        <v>0.15</v>
      </c>
      <c r="D203" s="4">
        <v>13</v>
      </c>
      <c r="E203" s="4">
        <v>83.9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787715.51</v>
      </c>
    </row>
    <row r="204" spans="1:12">
      <c r="A204" s="4">
        <v>35203.230000000003</v>
      </c>
      <c r="B204" s="4">
        <v>6896</v>
      </c>
      <c r="C204" s="4">
        <v>3.2000000000000001E-2</v>
      </c>
      <c r="D204" s="4">
        <v>14</v>
      </c>
      <c r="E204" s="4">
        <v>80.8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607084.92000000004</v>
      </c>
    </row>
    <row r="205" spans="1:12">
      <c r="A205" s="4">
        <v>64104.28</v>
      </c>
      <c r="B205" s="4">
        <v>6015</v>
      </c>
      <c r="C205" s="4">
        <v>0.127</v>
      </c>
      <c r="D205" s="4">
        <v>15</v>
      </c>
      <c r="E205" s="4">
        <v>88.7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650795.49</v>
      </c>
    </row>
    <row r="206" spans="1:12">
      <c r="A206" s="4">
        <v>92090.14</v>
      </c>
      <c r="B206" s="4">
        <v>9476</v>
      </c>
      <c r="C206" s="4">
        <v>7.0000000000000007E-2</v>
      </c>
      <c r="D206" s="4">
        <v>24</v>
      </c>
      <c r="E206" s="4">
        <v>94.3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825060.52</v>
      </c>
    </row>
    <row r="207" spans="1:12">
      <c r="A207" s="4">
        <v>54300.87</v>
      </c>
      <c r="B207" s="4">
        <v>7875</v>
      </c>
      <c r="C207" s="4">
        <v>0.107</v>
      </c>
      <c r="D207" s="4">
        <v>19</v>
      </c>
      <c r="E207" s="4">
        <v>94.1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795464.47</v>
      </c>
    </row>
    <row r="208" spans="1:12">
      <c r="A208" s="4">
        <v>37983.35</v>
      </c>
      <c r="B208" s="4">
        <v>9283</v>
      </c>
      <c r="C208" s="4">
        <v>0.14899999999999999</v>
      </c>
      <c r="D208" s="4">
        <v>19</v>
      </c>
      <c r="E208" s="4">
        <v>83.2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671868.59</v>
      </c>
    </row>
    <row r="209" spans="1:12">
      <c r="A209" s="4">
        <v>56413.83</v>
      </c>
      <c r="B209" s="4">
        <v>8303</v>
      </c>
      <c r="C209" s="4">
        <v>0.11600000000000001</v>
      </c>
      <c r="D209" s="4">
        <v>18</v>
      </c>
      <c r="E209" s="4">
        <v>93.6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675917.63</v>
      </c>
    </row>
    <row r="210" spans="1:12">
      <c r="A210" s="4">
        <v>63457.19</v>
      </c>
      <c r="B210" s="4">
        <v>10125</v>
      </c>
      <c r="C210" s="4">
        <v>9.7000000000000003E-2</v>
      </c>
      <c r="D210" s="4">
        <v>24</v>
      </c>
      <c r="E210" s="4">
        <v>87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810446.53</v>
      </c>
    </row>
    <row r="211" spans="1:12">
      <c r="A211" s="4">
        <v>62949.7</v>
      </c>
      <c r="B211" s="4">
        <v>9458</v>
      </c>
      <c r="C211" s="4">
        <v>0.17100000000000001</v>
      </c>
      <c r="D211" s="4">
        <v>19</v>
      </c>
      <c r="E211" s="4">
        <v>84.9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691288.19</v>
      </c>
    </row>
    <row r="212" spans="1:12">
      <c r="A212" s="4">
        <v>107970.19</v>
      </c>
      <c r="B212" s="4">
        <v>12870</v>
      </c>
      <c r="C212" s="4">
        <v>2.9000000000000001E-2</v>
      </c>
      <c r="D212" s="4">
        <v>31</v>
      </c>
      <c r="E212" s="4">
        <v>91.7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946833.54</v>
      </c>
    </row>
    <row r="213" spans="1:12">
      <c r="A213" s="4">
        <v>49405.75</v>
      </c>
      <c r="B213" s="4">
        <v>9752</v>
      </c>
      <c r="C213" s="4">
        <v>9.2999999999999999E-2</v>
      </c>
      <c r="D213" s="4">
        <v>21</v>
      </c>
      <c r="E213" s="4">
        <v>87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761963.23</v>
      </c>
    </row>
    <row r="214" spans="1:12">
      <c r="A214" s="4">
        <v>50887.46</v>
      </c>
      <c r="B214" s="4">
        <v>9505</v>
      </c>
      <c r="C214" s="4">
        <v>9.0999999999999998E-2</v>
      </c>
      <c r="D214" s="4">
        <v>25</v>
      </c>
      <c r="E214" s="4">
        <v>89.7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1</v>
      </c>
      <c r="L214">
        <v>812152.6</v>
      </c>
    </row>
    <row r="215" spans="1:12">
      <c r="A215" s="4">
        <v>41819.449999999997</v>
      </c>
      <c r="B215" s="4">
        <v>9412</v>
      </c>
      <c r="C215" s="4">
        <v>0.15</v>
      </c>
      <c r="D215" s="4">
        <v>22</v>
      </c>
      <c r="E215" s="4">
        <v>91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804975.5</v>
      </c>
    </row>
    <row r="216" spans="1:12">
      <c r="A216" s="4">
        <v>35296.54</v>
      </c>
      <c r="B216" s="4">
        <v>9644</v>
      </c>
      <c r="C216" s="4">
        <v>0</v>
      </c>
      <c r="D216" s="4">
        <v>22</v>
      </c>
      <c r="E216" s="4">
        <v>88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752321.72</v>
      </c>
    </row>
    <row r="217" spans="1:12">
      <c r="A217" s="4">
        <v>47391.09</v>
      </c>
      <c r="B217" s="4">
        <v>11224</v>
      </c>
      <c r="C217" s="4">
        <v>0.14699999999999999</v>
      </c>
      <c r="D217" s="4">
        <v>25</v>
      </c>
      <c r="E217" s="4">
        <v>88.4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1</v>
      </c>
      <c r="L217">
        <v>836908.24</v>
      </c>
    </row>
    <row r="218" spans="1:12">
      <c r="A218" s="4">
        <v>69180.539999999994</v>
      </c>
      <c r="B218" s="4">
        <v>5394</v>
      </c>
      <c r="C218" s="4">
        <v>0.126</v>
      </c>
      <c r="D218" s="4">
        <v>12</v>
      </c>
      <c r="E218" s="4">
        <v>82.9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674289.1</v>
      </c>
    </row>
    <row r="219" spans="1:12">
      <c r="A219" s="4">
        <v>33987.33</v>
      </c>
      <c r="B219" s="4">
        <v>5014</v>
      </c>
      <c r="C219" s="4">
        <v>0.246</v>
      </c>
      <c r="D219" s="4">
        <v>17</v>
      </c>
      <c r="E219" s="4">
        <v>94.3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622892.42000000004</v>
      </c>
    </row>
    <row r="220" spans="1:12">
      <c r="A220" s="4">
        <v>58785.33</v>
      </c>
      <c r="B220" s="4">
        <v>4467</v>
      </c>
      <c r="C220" s="4">
        <v>0.22900000000000001</v>
      </c>
      <c r="D220" s="4">
        <v>14</v>
      </c>
      <c r="E220" s="4">
        <v>90.7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673348.56</v>
      </c>
    </row>
    <row r="221" spans="1:12">
      <c r="A221" s="4">
        <v>16451.849999999999</v>
      </c>
      <c r="B221" s="4">
        <v>4678</v>
      </c>
      <c r="C221" s="4">
        <v>0.13300000000000001</v>
      </c>
      <c r="D221" s="4">
        <v>11</v>
      </c>
      <c r="E221" s="4">
        <v>95.9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606278.30000000005</v>
      </c>
    </row>
    <row r="222" spans="1:12">
      <c r="A222" s="4">
        <v>53367.73</v>
      </c>
      <c r="B222" s="4">
        <v>7291</v>
      </c>
      <c r="C222" s="4">
        <v>0.14599999999999999</v>
      </c>
      <c r="D222" s="4">
        <v>18</v>
      </c>
      <c r="E222" s="4">
        <v>90.6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712219.81</v>
      </c>
    </row>
    <row r="223" spans="1:12">
      <c r="A223" s="4">
        <v>27194.639999999999</v>
      </c>
      <c r="B223" s="4">
        <v>7404</v>
      </c>
      <c r="C223" s="4">
        <v>8.7999999999999995E-2</v>
      </c>
      <c r="D223" s="4">
        <v>18</v>
      </c>
      <c r="E223" s="4">
        <v>90.2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672670.54</v>
      </c>
    </row>
    <row r="224" spans="1:12">
      <c r="A224" s="4">
        <v>66962.740000000005</v>
      </c>
      <c r="B224" s="4">
        <v>7880</v>
      </c>
      <c r="C224" s="4">
        <v>0.11600000000000001</v>
      </c>
      <c r="D224" s="4">
        <v>19</v>
      </c>
      <c r="E224" s="4">
        <v>90.4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732667.92</v>
      </c>
    </row>
    <row r="225" spans="1:12">
      <c r="A225" s="4">
        <v>73540.990000000005</v>
      </c>
      <c r="B225" s="4">
        <v>8773</v>
      </c>
      <c r="C225" s="4">
        <v>3.5000000000000003E-2</v>
      </c>
      <c r="D225" s="4">
        <v>21</v>
      </c>
      <c r="E225" s="4">
        <v>84.4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723531.4</v>
      </c>
    </row>
    <row r="226" spans="1:12">
      <c r="A226" s="4">
        <v>68212.289999999994</v>
      </c>
      <c r="B226" s="4">
        <v>4713</v>
      </c>
      <c r="C226" s="4">
        <v>0.19800000000000001</v>
      </c>
      <c r="D226" s="4">
        <v>15</v>
      </c>
      <c r="E226" s="4">
        <v>82.6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641564.6</v>
      </c>
    </row>
    <row r="227" spans="1:12">
      <c r="A227" s="4">
        <v>57225.98</v>
      </c>
      <c r="B227" s="4">
        <v>2842</v>
      </c>
      <c r="C227" s="4">
        <v>0.112</v>
      </c>
      <c r="D227" s="4">
        <v>10</v>
      </c>
      <c r="E227" s="4">
        <v>79.5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536545.49</v>
      </c>
    </row>
    <row r="228" spans="1:12">
      <c r="A228" s="4">
        <v>42932.02</v>
      </c>
      <c r="B228" s="4">
        <v>3872</v>
      </c>
      <c r="C228" s="4">
        <v>0.17100000000000001</v>
      </c>
      <c r="D228" s="4">
        <v>12</v>
      </c>
      <c r="E228" s="4">
        <v>83.2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527681.56000000006</v>
      </c>
    </row>
    <row r="229" spans="1:12">
      <c r="A229" s="4">
        <v>39341.449999999997</v>
      </c>
      <c r="B229" s="4">
        <v>1375</v>
      </c>
      <c r="C229" s="4">
        <v>9.2999999999999999E-2</v>
      </c>
      <c r="D229" s="4">
        <v>5</v>
      </c>
      <c r="E229" s="4">
        <v>95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529598.93999999994</v>
      </c>
    </row>
    <row r="230" spans="1:12">
      <c r="A230" s="4">
        <v>37324.230000000003</v>
      </c>
      <c r="B230" s="4">
        <v>5957</v>
      </c>
      <c r="C230" s="4">
        <v>7.0999999999999994E-2</v>
      </c>
      <c r="D230" s="4">
        <v>12</v>
      </c>
      <c r="E230" s="4">
        <v>85.9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570963.31000000006</v>
      </c>
    </row>
    <row r="231" spans="1:12">
      <c r="A231" s="4">
        <v>113736</v>
      </c>
      <c r="B231" s="4">
        <v>8961</v>
      </c>
      <c r="C231" s="4">
        <v>0.20200000000000001</v>
      </c>
      <c r="D231" s="4">
        <v>24</v>
      </c>
      <c r="E231" s="4">
        <v>86.2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870937.4</v>
      </c>
    </row>
    <row r="232" spans="1:12">
      <c r="A232" s="4">
        <v>33173.949999999997</v>
      </c>
      <c r="B232" s="4">
        <v>6545</v>
      </c>
      <c r="C232" s="4">
        <v>0.16900000000000001</v>
      </c>
      <c r="D232" s="4">
        <v>15</v>
      </c>
      <c r="E232" s="4">
        <v>84.4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596969.27</v>
      </c>
    </row>
    <row r="233" spans="1:12">
      <c r="A233" s="4">
        <v>25818.080000000002</v>
      </c>
      <c r="B233" s="4">
        <v>5457</v>
      </c>
      <c r="C233" s="4">
        <v>0</v>
      </c>
      <c r="D233" s="4">
        <v>11</v>
      </c>
      <c r="E233" s="4">
        <v>95.4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647512.85</v>
      </c>
    </row>
    <row r="234" spans="1:12">
      <c r="A234" s="4">
        <v>47241.919999999998</v>
      </c>
      <c r="B234" s="4">
        <v>4264</v>
      </c>
      <c r="C234" s="4">
        <v>6.9000000000000006E-2</v>
      </c>
      <c r="D234" s="4">
        <v>13</v>
      </c>
      <c r="E234" s="4">
        <v>95.3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658072.14</v>
      </c>
    </row>
    <row r="235" spans="1:12">
      <c r="A235" s="4">
        <v>61650.79</v>
      </c>
      <c r="B235" s="4">
        <v>5321</v>
      </c>
      <c r="C235" s="4">
        <v>0.126</v>
      </c>
      <c r="D235" s="4">
        <v>17</v>
      </c>
      <c r="E235" s="4">
        <v>89.2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723305.11</v>
      </c>
    </row>
    <row r="236" spans="1:12">
      <c r="A236" s="4">
        <v>62582.71</v>
      </c>
      <c r="B236" s="4">
        <v>5479</v>
      </c>
      <c r="C236" s="4">
        <v>4.8000000000000001E-2</v>
      </c>
      <c r="D236" s="4">
        <v>16</v>
      </c>
      <c r="E236" s="4">
        <v>81.2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640666.53</v>
      </c>
    </row>
    <row r="237" spans="1:12">
      <c r="A237" s="4">
        <v>47944.14</v>
      </c>
      <c r="B237" s="4">
        <v>6169</v>
      </c>
      <c r="C237" s="4">
        <v>0.11899999999999999</v>
      </c>
      <c r="D237" s="4">
        <v>17</v>
      </c>
      <c r="E237" s="4">
        <v>92.2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670629.48</v>
      </c>
    </row>
    <row r="238" spans="1:12">
      <c r="A238" s="4">
        <v>46495.4</v>
      </c>
      <c r="B238" s="4">
        <v>9908</v>
      </c>
      <c r="C238" s="4">
        <v>0.121</v>
      </c>
      <c r="D238" s="4">
        <v>22</v>
      </c>
      <c r="E238" s="4">
        <v>89.4</v>
      </c>
      <c r="F238">
        <v>0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721079.35</v>
      </c>
    </row>
    <row r="239" spans="1:12">
      <c r="A239" s="4">
        <v>72961.95</v>
      </c>
      <c r="B239" s="4">
        <v>9996</v>
      </c>
      <c r="C239" s="4">
        <v>0.106</v>
      </c>
      <c r="D239" s="4">
        <v>22</v>
      </c>
      <c r="E239" s="4">
        <v>89.1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810355.02</v>
      </c>
    </row>
    <row r="240" spans="1:12">
      <c r="A240" s="4">
        <v>59060.05</v>
      </c>
      <c r="B240" s="4">
        <v>9702</v>
      </c>
      <c r="C240" s="4">
        <v>0.20100000000000001</v>
      </c>
      <c r="D240" s="4">
        <v>23</v>
      </c>
      <c r="E240" s="4">
        <v>80.900000000000006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761919.25</v>
      </c>
    </row>
    <row r="241" spans="1:12">
      <c r="A241" s="4">
        <v>26248.1</v>
      </c>
      <c r="B241" s="4">
        <v>9314</v>
      </c>
      <c r="C241" s="4">
        <v>0.186</v>
      </c>
      <c r="D241" s="4">
        <v>21</v>
      </c>
      <c r="E241" s="4">
        <v>83.7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737070.18</v>
      </c>
    </row>
    <row r="242" spans="1:12">
      <c r="A242" s="4">
        <v>69900.12</v>
      </c>
      <c r="B242" s="4">
        <v>8055</v>
      </c>
      <c r="C242" s="4">
        <v>0.28100000000000003</v>
      </c>
      <c r="D242" s="4">
        <v>22</v>
      </c>
      <c r="E242" s="4">
        <v>85.6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776992.93</v>
      </c>
    </row>
    <row r="243" spans="1:12">
      <c r="A243" s="4">
        <v>51781.599999999999</v>
      </c>
      <c r="B243" s="4">
        <v>5648</v>
      </c>
      <c r="C243" s="4">
        <v>5.8999999999999997E-2</v>
      </c>
      <c r="D243" s="4">
        <v>13</v>
      </c>
      <c r="E243" s="4">
        <v>85.5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676337.41</v>
      </c>
    </row>
    <row r="244" spans="1:12">
      <c r="A244" s="4">
        <v>70799.64</v>
      </c>
      <c r="B244" s="4">
        <v>10076</v>
      </c>
      <c r="C244" s="4">
        <v>0.152</v>
      </c>
      <c r="D244" s="4">
        <v>24</v>
      </c>
      <c r="E244" s="4">
        <v>84.8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828219.67</v>
      </c>
    </row>
    <row r="245" spans="1:12">
      <c r="A245" s="4">
        <v>53546.34</v>
      </c>
      <c r="B245" s="4">
        <v>8004</v>
      </c>
      <c r="C245" s="4">
        <v>0</v>
      </c>
      <c r="D245" s="4">
        <v>21</v>
      </c>
      <c r="E245" s="4">
        <v>95.2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763159.92</v>
      </c>
    </row>
    <row r="246" spans="1:12">
      <c r="A246" s="4">
        <v>76942.2</v>
      </c>
      <c r="B246" s="4">
        <v>8934</v>
      </c>
      <c r="C246" s="4">
        <v>8.4000000000000005E-2</v>
      </c>
      <c r="D246" s="4">
        <v>20</v>
      </c>
      <c r="E246" s="4">
        <v>91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802001.68</v>
      </c>
    </row>
    <row r="247" spans="1:12">
      <c r="A247" s="4">
        <v>48060.78</v>
      </c>
      <c r="B247" s="4">
        <v>8733</v>
      </c>
      <c r="C247" s="4">
        <v>0</v>
      </c>
      <c r="D247" s="4">
        <v>20</v>
      </c>
      <c r="E247" s="4">
        <v>89.9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750471.34</v>
      </c>
    </row>
    <row r="248" spans="1:12">
      <c r="A248" s="4">
        <v>57390.04</v>
      </c>
      <c r="B248" s="4">
        <v>7374</v>
      </c>
      <c r="C248" s="4">
        <v>0.21</v>
      </c>
      <c r="D248" s="4">
        <v>21</v>
      </c>
      <c r="E248" s="4">
        <v>91.8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679230.86</v>
      </c>
    </row>
    <row r="249" spans="1:12">
      <c r="A249" s="4">
        <v>21536.18</v>
      </c>
      <c r="B249" s="4">
        <v>8119</v>
      </c>
      <c r="C249" s="4">
        <v>0.22700000000000001</v>
      </c>
      <c r="D249" s="4">
        <v>20</v>
      </c>
      <c r="E249" s="4">
        <v>90.4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679888.74</v>
      </c>
    </row>
    <row r="250" spans="1:12">
      <c r="A250" s="4">
        <v>40923.67</v>
      </c>
      <c r="B250" s="4">
        <v>3875</v>
      </c>
      <c r="C250" s="4">
        <v>0.15</v>
      </c>
      <c r="D250" s="4">
        <v>10</v>
      </c>
      <c r="E250" s="4">
        <v>96.1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606783.67000000004</v>
      </c>
    </row>
    <row r="251" spans="1:12">
      <c r="A251" s="4">
        <v>72932.55</v>
      </c>
      <c r="B251" s="4">
        <v>5765</v>
      </c>
      <c r="C251" s="4">
        <v>2.5999999999999999E-2</v>
      </c>
      <c r="D251" s="4">
        <v>17</v>
      </c>
      <c r="E251" s="4">
        <v>81.8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642751.42000000004</v>
      </c>
    </row>
    <row r="252" spans="1:12">
      <c r="A252" s="4">
        <v>38361.93</v>
      </c>
      <c r="B252" s="4">
        <v>6322</v>
      </c>
      <c r="C252" s="4">
        <v>0.27300000000000002</v>
      </c>
      <c r="D252" s="4">
        <v>15</v>
      </c>
      <c r="E252" s="4">
        <v>88.4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647953.78</v>
      </c>
    </row>
    <row r="253" spans="1:12">
      <c r="A253" s="4">
        <v>97480.94</v>
      </c>
      <c r="B253" s="4">
        <v>6840</v>
      </c>
      <c r="C253" s="4">
        <v>8.6999999999999994E-2</v>
      </c>
      <c r="D253" s="4">
        <v>14</v>
      </c>
      <c r="E253" s="4">
        <v>79.2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729440.45</v>
      </c>
    </row>
    <row r="254" spans="1:12">
      <c r="A254" s="4">
        <v>81801.8</v>
      </c>
      <c r="B254" s="4">
        <v>6782</v>
      </c>
      <c r="C254" s="4">
        <v>0.05</v>
      </c>
      <c r="D254" s="4">
        <v>16</v>
      </c>
      <c r="E254" s="4">
        <v>99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764949</v>
      </c>
    </row>
    <row r="255" spans="1:12">
      <c r="A255" s="4">
        <v>63582.11</v>
      </c>
      <c r="B255" s="4">
        <v>6856</v>
      </c>
      <c r="C255" s="4">
        <v>7.3999999999999996E-2</v>
      </c>
      <c r="D255" s="4">
        <v>17</v>
      </c>
      <c r="E255" s="4">
        <v>89.5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799046.94</v>
      </c>
    </row>
    <row r="256" spans="1:12">
      <c r="A256" s="4">
        <v>75412.740000000005</v>
      </c>
      <c r="B256" s="4">
        <v>5641</v>
      </c>
      <c r="C256" s="4">
        <v>5.8999999999999997E-2</v>
      </c>
      <c r="D256" s="4">
        <v>13</v>
      </c>
      <c r="E256" s="4">
        <v>87.9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720079.54</v>
      </c>
    </row>
    <row r="257" spans="1:12">
      <c r="A257" s="4">
        <v>36290.080000000002</v>
      </c>
      <c r="B257" s="4">
        <v>5787</v>
      </c>
      <c r="C257" s="4">
        <v>0</v>
      </c>
      <c r="D257" s="4">
        <v>17</v>
      </c>
      <c r="E257" s="4">
        <v>88.3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612390.14</v>
      </c>
    </row>
    <row r="258" spans="1:12">
      <c r="A258" s="4">
        <v>65272.58</v>
      </c>
      <c r="B258" s="4">
        <v>8165</v>
      </c>
      <c r="C258" s="4">
        <v>5.0999999999999997E-2</v>
      </c>
      <c r="D258" s="4">
        <v>19</v>
      </c>
      <c r="E258" s="4">
        <v>87.8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840108.12</v>
      </c>
    </row>
    <row r="259" spans="1:12">
      <c r="A259" s="4">
        <v>28670.43</v>
      </c>
      <c r="B259" s="4">
        <v>7574</v>
      </c>
      <c r="C259" s="4">
        <v>0.114</v>
      </c>
      <c r="D259" s="4">
        <v>19</v>
      </c>
      <c r="E259" s="4">
        <v>82.7</v>
      </c>
      <c r="F259">
        <v>0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697888.09</v>
      </c>
    </row>
    <row r="260" spans="1:12">
      <c r="A260" s="4">
        <v>44189.34</v>
      </c>
      <c r="B260" s="4">
        <v>8634</v>
      </c>
      <c r="C260" s="4">
        <v>0.14299999999999999</v>
      </c>
      <c r="D260" s="4">
        <v>19</v>
      </c>
      <c r="E260" s="4">
        <v>87.5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746115.59</v>
      </c>
    </row>
    <row r="261" spans="1:12">
      <c r="A261" s="4">
        <v>38397.82</v>
      </c>
      <c r="B261" s="4">
        <v>7836</v>
      </c>
      <c r="C261" s="4">
        <v>7.0000000000000001E-3</v>
      </c>
      <c r="D261" s="4">
        <v>21</v>
      </c>
      <c r="E261" s="4">
        <v>92.2</v>
      </c>
      <c r="F261">
        <v>0</v>
      </c>
      <c r="G261">
        <v>1</v>
      </c>
      <c r="H261">
        <v>0</v>
      </c>
      <c r="I261">
        <v>0</v>
      </c>
      <c r="J261">
        <v>1</v>
      </c>
      <c r="K261">
        <v>0</v>
      </c>
      <c r="L261">
        <v>776110.32</v>
      </c>
    </row>
    <row r="262" spans="1:12">
      <c r="A262" s="4">
        <v>14519.37</v>
      </c>
      <c r="B262" s="4">
        <v>3047</v>
      </c>
      <c r="C262" s="4">
        <v>0.13500000000000001</v>
      </c>
      <c r="D262" s="4">
        <v>10</v>
      </c>
      <c r="E262" s="4">
        <v>90.3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528852.62</v>
      </c>
    </row>
    <row r="263" spans="1:12">
      <c r="A263" s="4">
        <v>43288.2</v>
      </c>
      <c r="B263" s="4">
        <v>4783</v>
      </c>
      <c r="C263" s="4">
        <v>0.16900000000000001</v>
      </c>
      <c r="D263" s="4">
        <v>13</v>
      </c>
      <c r="E263" s="4">
        <v>87.3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605751.32999999996</v>
      </c>
    </row>
    <row r="264" spans="1:12">
      <c r="A264" s="4">
        <v>51450.55</v>
      </c>
      <c r="B264" s="4">
        <v>4902</v>
      </c>
      <c r="C264" s="4">
        <v>8.5999999999999993E-2</v>
      </c>
      <c r="D264" s="4">
        <v>11</v>
      </c>
      <c r="E264" s="4">
        <v>83.7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677640.65</v>
      </c>
    </row>
    <row r="265" spans="1:12">
      <c r="A265" s="4">
        <v>58688.26</v>
      </c>
      <c r="B265" s="4">
        <v>4022</v>
      </c>
      <c r="C265" s="4">
        <v>0.217</v>
      </c>
      <c r="D265" s="4">
        <v>12</v>
      </c>
      <c r="E265" s="4">
        <v>93.8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636613.23</v>
      </c>
    </row>
    <row r="266" spans="1:12">
      <c r="A266" s="4">
        <v>58981.91</v>
      </c>
      <c r="B266" s="4">
        <v>7324</v>
      </c>
      <c r="C266" s="4">
        <v>9.4E-2</v>
      </c>
      <c r="D266" s="4">
        <v>15</v>
      </c>
      <c r="E266" s="4">
        <v>95.8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708985.19</v>
      </c>
    </row>
    <row r="267" spans="1:12">
      <c r="A267" s="4">
        <v>73454.539999999994</v>
      </c>
      <c r="B267" s="4">
        <v>8129</v>
      </c>
      <c r="C267" s="4">
        <v>0.21099999999999999</v>
      </c>
      <c r="D267" s="4">
        <v>20</v>
      </c>
      <c r="E267" s="4">
        <v>85.2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767792.94</v>
      </c>
    </row>
    <row r="268" spans="1:12">
      <c r="A268" s="4">
        <v>56602.39</v>
      </c>
      <c r="B268" s="4">
        <v>7969</v>
      </c>
      <c r="C268" s="4">
        <v>0.17</v>
      </c>
      <c r="D268" s="4">
        <v>21</v>
      </c>
      <c r="E268" s="4">
        <v>88.3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745580.51</v>
      </c>
    </row>
    <row r="269" spans="1:12">
      <c r="A269" s="4">
        <v>67722.289999999994</v>
      </c>
      <c r="B269" s="4">
        <v>7240</v>
      </c>
      <c r="C269" s="4">
        <v>2.5999999999999999E-2</v>
      </c>
      <c r="D269" s="4">
        <v>15</v>
      </c>
      <c r="E269" s="4">
        <v>92.9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762328.31</v>
      </c>
    </row>
    <row r="270" spans="1:12">
      <c r="A270" s="4">
        <v>48752.92</v>
      </c>
      <c r="B270" s="4">
        <v>8052</v>
      </c>
      <c r="C270" s="4">
        <v>0.106</v>
      </c>
      <c r="D270" s="4">
        <v>16</v>
      </c>
      <c r="E270" s="4">
        <v>94.9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660633.99</v>
      </c>
    </row>
    <row r="271" spans="1:12">
      <c r="A271" s="4">
        <v>23914.97</v>
      </c>
      <c r="B271" s="4">
        <v>8018</v>
      </c>
      <c r="C271" s="4">
        <v>0.13900000000000001</v>
      </c>
      <c r="D271" s="4">
        <v>20</v>
      </c>
      <c r="E271" s="4">
        <v>89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739374.56</v>
      </c>
    </row>
    <row r="272" spans="1:12">
      <c r="A272" s="4">
        <v>61995.3</v>
      </c>
      <c r="B272" s="4">
        <v>10192</v>
      </c>
      <c r="C272" s="4">
        <v>0.19800000000000001</v>
      </c>
      <c r="D272" s="4">
        <v>21</v>
      </c>
      <c r="E272" s="4">
        <v>87.6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799756.46</v>
      </c>
    </row>
    <row r="273" spans="1:12">
      <c r="A273" s="4">
        <v>29344.93</v>
      </c>
      <c r="B273" s="4">
        <v>7446</v>
      </c>
      <c r="C273" s="4">
        <v>0.111</v>
      </c>
      <c r="D273" s="4">
        <v>15</v>
      </c>
      <c r="E273" s="4">
        <v>86.2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593343</v>
      </c>
    </row>
    <row r="274" spans="1:12">
      <c r="A274" s="4">
        <v>50532.17</v>
      </c>
      <c r="B274" s="4">
        <v>5689</v>
      </c>
      <c r="C274" s="4">
        <v>5.1999999999999998E-2</v>
      </c>
      <c r="D274" s="4">
        <v>17</v>
      </c>
      <c r="E274" s="4">
        <v>85.6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645039.97</v>
      </c>
    </row>
    <row r="275" spans="1:12">
      <c r="A275" s="4">
        <v>17562.57</v>
      </c>
      <c r="B275" s="4">
        <v>3326</v>
      </c>
      <c r="C275" s="4">
        <v>0.153</v>
      </c>
      <c r="D275" s="4">
        <v>14</v>
      </c>
      <c r="E275" s="4">
        <v>88.1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561597.32999999996</v>
      </c>
    </row>
    <row r="276" spans="1:12">
      <c r="A276" s="4">
        <v>47648.71</v>
      </c>
      <c r="B276" s="4">
        <v>5767</v>
      </c>
      <c r="C276" s="4">
        <v>0.14099999999999999</v>
      </c>
      <c r="D276" s="4">
        <v>17</v>
      </c>
      <c r="E276" s="4">
        <v>89.8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635837.74</v>
      </c>
    </row>
    <row r="277" spans="1:12">
      <c r="A277" s="4">
        <v>38297.58</v>
      </c>
      <c r="B277" s="4">
        <v>5893</v>
      </c>
      <c r="C277" s="4">
        <v>0.247</v>
      </c>
      <c r="D277" s="4">
        <v>18</v>
      </c>
      <c r="E277" s="4">
        <v>77.599999999999994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686737.87</v>
      </c>
    </row>
    <row r="278" spans="1:12">
      <c r="A278" s="4">
        <v>61784.11</v>
      </c>
      <c r="B278" s="4">
        <v>8564</v>
      </c>
      <c r="C278" s="4">
        <v>0.13</v>
      </c>
      <c r="D278" s="4">
        <v>17</v>
      </c>
      <c r="E278" s="4">
        <v>87.4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673076.34</v>
      </c>
    </row>
    <row r="279" spans="1:12">
      <c r="A279" s="4">
        <v>36832.33</v>
      </c>
      <c r="B279" s="4">
        <v>8001</v>
      </c>
      <c r="C279" s="4">
        <v>0</v>
      </c>
      <c r="D279" s="4">
        <v>19</v>
      </c>
      <c r="E279" s="4">
        <v>88.7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738548.42</v>
      </c>
    </row>
    <row r="280" spans="1:12">
      <c r="A280" s="4">
        <v>48609.41</v>
      </c>
      <c r="B280" s="4">
        <v>9324</v>
      </c>
      <c r="C280" s="4">
        <v>0.21299999999999999</v>
      </c>
      <c r="D280" s="4">
        <v>18</v>
      </c>
      <c r="E280" s="4">
        <v>86.5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1</v>
      </c>
      <c r="L280">
        <v>756619.77</v>
      </c>
    </row>
    <row r="281" spans="1:12">
      <c r="A281" s="4">
        <v>70284.06</v>
      </c>
      <c r="B281" s="4">
        <v>9109</v>
      </c>
      <c r="C281" s="4">
        <v>4.0000000000000001E-3</v>
      </c>
      <c r="D281" s="4">
        <v>23</v>
      </c>
      <c r="E281" s="4">
        <v>87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1</v>
      </c>
      <c r="L281">
        <v>761122.42</v>
      </c>
    </row>
    <row r="282" spans="1:12">
      <c r="A282" s="4">
        <v>45940.39</v>
      </c>
      <c r="B282" s="4">
        <v>4022</v>
      </c>
      <c r="C282" s="4">
        <v>6.9000000000000006E-2</v>
      </c>
      <c r="D282" s="4">
        <v>10</v>
      </c>
      <c r="E282" s="4">
        <v>83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524899.56999999995</v>
      </c>
    </row>
    <row r="283" spans="1:12">
      <c r="A283" s="4">
        <v>34771.26</v>
      </c>
      <c r="B283" s="4">
        <v>4355</v>
      </c>
      <c r="C283" s="4">
        <v>5.0999999999999997E-2</v>
      </c>
      <c r="D283" s="4">
        <v>15</v>
      </c>
      <c r="E283" s="4">
        <v>87.9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555557.77</v>
      </c>
    </row>
    <row r="284" spans="1:12">
      <c r="A284" s="4">
        <v>66104.19</v>
      </c>
      <c r="B284" s="4">
        <v>5745</v>
      </c>
      <c r="C284" s="4">
        <v>7.0000000000000007E-2</v>
      </c>
      <c r="D284" s="4">
        <v>17</v>
      </c>
      <c r="E284" s="4">
        <v>95.8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714083.68</v>
      </c>
    </row>
    <row r="285" spans="1:12">
      <c r="A285" s="4">
        <v>18599.21</v>
      </c>
      <c r="B285" s="4">
        <v>3027</v>
      </c>
      <c r="C285" s="4">
        <v>0.122</v>
      </c>
      <c r="D285" s="4">
        <v>11</v>
      </c>
      <c r="E285" s="4">
        <v>80.900000000000006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497439.82</v>
      </c>
    </row>
    <row r="286" spans="1:12">
      <c r="A286" s="4">
        <v>60183.06</v>
      </c>
      <c r="B286" s="4">
        <v>5562</v>
      </c>
      <c r="C286" s="4">
        <v>8.9999999999999993E-3</v>
      </c>
      <c r="D286" s="4">
        <v>13</v>
      </c>
      <c r="E286" s="4">
        <v>86.3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1</v>
      </c>
      <c r="L286">
        <v>636775.66</v>
      </c>
    </row>
    <row r="287" spans="1:12">
      <c r="A287" s="4">
        <v>74539.14</v>
      </c>
      <c r="B287" s="4">
        <v>4487</v>
      </c>
      <c r="C287" s="4">
        <v>0.14000000000000001</v>
      </c>
      <c r="D287" s="4">
        <v>10</v>
      </c>
      <c r="E287" s="4">
        <v>90.4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633009.53</v>
      </c>
    </row>
    <row r="288" spans="1:12">
      <c r="A288" s="4">
        <v>55371.97</v>
      </c>
      <c r="B288" s="4">
        <v>4162</v>
      </c>
      <c r="C288" s="4">
        <v>0.183</v>
      </c>
      <c r="D288" s="4">
        <v>11</v>
      </c>
      <c r="E288" s="4">
        <v>92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609949</v>
      </c>
    </row>
    <row r="289" spans="1:12">
      <c r="A289" s="4">
        <v>40928.69</v>
      </c>
      <c r="B289" s="4">
        <v>4094</v>
      </c>
      <c r="C289" s="4">
        <v>0.17399999999999999</v>
      </c>
      <c r="D289" s="4">
        <v>13</v>
      </c>
      <c r="E289" s="4">
        <v>82.4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1</v>
      </c>
      <c r="L289">
        <v>548103.69999999995</v>
      </c>
    </row>
    <row r="290" spans="1:12">
      <c r="A290" s="4">
        <v>70012.41</v>
      </c>
      <c r="B290" s="4">
        <v>8484</v>
      </c>
      <c r="C290" s="4">
        <v>0.27300000000000002</v>
      </c>
      <c r="D290" s="4">
        <v>23</v>
      </c>
      <c r="E290" s="4">
        <v>72.900000000000006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729424.42</v>
      </c>
    </row>
    <row r="291" spans="1:12">
      <c r="A291" s="4">
        <v>68909.259999999995</v>
      </c>
      <c r="B291" s="4">
        <v>7794</v>
      </c>
      <c r="C291" s="4">
        <v>0.28399999999999997</v>
      </c>
      <c r="D291" s="4">
        <v>22</v>
      </c>
      <c r="E291" s="4">
        <v>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696261.49</v>
      </c>
    </row>
    <row r="292" spans="1:12">
      <c r="A292" s="4">
        <v>56737.3</v>
      </c>
      <c r="B292" s="4">
        <v>8300</v>
      </c>
      <c r="C292" s="4">
        <v>3.2000000000000001E-2</v>
      </c>
      <c r="D292" s="4">
        <v>21</v>
      </c>
      <c r="E292" s="4">
        <v>83.2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813316.71</v>
      </c>
    </row>
    <row r="293" spans="1:12">
      <c r="A293" s="4">
        <v>54080.91</v>
      </c>
      <c r="B293" s="4">
        <v>7083</v>
      </c>
      <c r="C293" s="4">
        <v>0</v>
      </c>
      <c r="D293" s="4">
        <v>15</v>
      </c>
      <c r="E293" s="4">
        <v>97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702068.92</v>
      </c>
    </row>
    <row r="294" spans="1:12">
      <c r="A294" s="4">
        <v>51996.32</v>
      </c>
      <c r="B294" s="4">
        <v>3834</v>
      </c>
      <c r="C294" s="4">
        <v>9.6000000000000002E-2</v>
      </c>
      <c r="D294" s="4">
        <v>8</v>
      </c>
      <c r="E294" s="4">
        <v>86.7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546223.69999999995</v>
      </c>
    </row>
    <row r="295" spans="1:12">
      <c r="A295" s="4">
        <v>40102.879999999997</v>
      </c>
      <c r="B295" s="4">
        <v>2358</v>
      </c>
      <c r="C295" s="4">
        <v>0.11899999999999999</v>
      </c>
      <c r="D295" s="4">
        <v>9</v>
      </c>
      <c r="E295" s="4">
        <v>88.7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533121.26</v>
      </c>
    </row>
    <row r="296" spans="1:12">
      <c r="A296" s="4">
        <v>59825.51</v>
      </c>
      <c r="B296" s="4">
        <v>1231</v>
      </c>
      <c r="C296" s="4">
        <v>0.214</v>
      </c>
      <c r="D296" s="4">
        <v>10</v>
      </c>
      <c r="E296" s="4">
        <v>84.8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498970.32</v>
      </c>
    </row>
    <row r="297" spans="1:12">
      <c r="A297" s="4">
        <v>27398.28</v>
      </c>
      <c r="B297" s="4">
        <v>1723</v>
      </c>
      <c r="C297" s="4">
        <v>0.17100000000000001</v>
      </c>
      <c r="D297" s="4">
        <v>9</v>
      </c>
      <c r="E297" s="4">
        <v>81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487738.26</v>
      </c>
    </row>
    <row r="298" spans="1:12">
      <c r="A298" s="4">
        <v>55599.56</v>
      </c>
      <c r="B298" s="4">
        <v>5896</v>
      </c>
      <c r="C298" s="4">
        <v>3.5999999999999997E-2</v>
      </c>
      <c r="D298" s="4">
        <v>12</v>
      </c>
      <c r="E298" s="4">
        <v>93.1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668459.37</v>
      </c>
    </row>
    <row r="299" spans="1:12">
      <c r="A299" s="4">
        <v>55477.61</v>
      </c>
      <c r="B299" s="4">
        <v>5903</v>
      </c>
      <c r="C299" s="4">
        <v>0.10199999999999999</v>
      </c>
      <c r="D299" s="4">
        <v>14</v>
      </c>
      <c r="E299" s="4">
        <v>96.2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763162.45</v>
      </c>
    </row>
    <row r="300" spans="1:12">
      <c r="A300" s="4">
        <v>46174.7</v>
      </c>
      <c r="B300" s="4">
        <v>4898</v>
      </c>
      <c r="C300" s="4">
        <v>0.114</v>
      </c>
      <c r="D300" s="4">
        <v>11</v>
      </c>
      <c r="E300" s="4">
        <v>91.7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599017.32999999996</v>
      </c>
    </row>
    <row r="301" spans="1:12">
      <c r="A301" s="4">
        <v>24362.98</v>
      </c>
      <c r="B301" s="4">
        <v>1462</v>
      </c>
      <c r="C301" s="4">
        <v>0.11700000000000001</v>
      </c>
      <c r="D301" s="4">
        <v>6</v>
      </c>
      <c r="E301" s="4">
        <v>89.3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401582.58</v>
      </c>
    </row>
    <row r="302" spans="1:12">
      <c r="A302" s="4">
        <v>40647.67</v>
      </c>
      <c r="B302" s="4">
        <v>8252</v>
      </c>
      <c r="C302" s="4">
        <v>0.14099999999999999</v>
      </c>
      <c r="D302" s="4">
        <v>22</v>
      </c>
      <c r="E302" s="4">
        <v>88.2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703812.99</v>
      </c>
    </row>
    <row r="303" spans="1:12">
      <c r="A303" s="4">
        <v>63986.98</v>
      </c>
      <c r="B303" s="4">
        <v>7989</v>
      </c>
      <c r="C303" s="4">
        <v>7.3999999999999996E-2</v>
      </c>
      <c r="D303" s="4">
        <v>20</v>
      </c>
      <c r="E303" s="4">
        <v>83.3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724346.73</v>
      </c>
    </row>
    <row r="304" spans="1:12">
      <c r="A304" s="4">
        <v>52843.75</v>
      </c>
      <c r="B304" s="4">
        <v>8268</v>
      </c>
      <c r="C304" s="4">
        <v>0.13800000000000001</v>
      </c>
      <c r="D304" s="4">
        <v>19</v>
      </c>
      <c r="E304" s="4">
        <v>87.3</v>
      </c>
      <c r="F304">
        <v>1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730890.01</v>
      </c>
    </row>
    <row r="305" spans="1:12">
      <c r="A305" s="4">
        <v>31997.25</v>
      </c>
      <c r="B305" s="4">
        <v>8183</v>
      </c>
      <c r="C305" s="4">
        <v>0.19800000000000001</v>
      </c>
      <c r="D305" s="4">
        <v>18</v>
      </c>
      <c r="E305" s="4">
        <v>93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780580.95</v>
      </c>
    </row>
    <row r="306" spans="1:12">
      <c r="A306" s="4">
        <v>54948.02</v>
      </c>
      <c r="B306" s="4">
        <v>6534</v>
      </c>
      <c r="C306" s="4">
        <v>0.183</v>
      </c>
      <c r="D306" s="4">
        <v>14</v>
      </c>
      <c r="E306" s="4">
        <v>94.5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727957.48</v>
      </c>
    </row>
    <row r="307" spans="1:12">
      <c r="A307" s="4">
        <v>46146.239999999998</v>
      </c>
      <c r="B307" s="4">
        <v>5804</v>
      </c>
      <c r="C307" s="4">
        <v>4.7E-2</v>
      </c>
      <c r="D307" s="4">
        <v>16</v>
      </c>
      <c r="E307" s="4">
        <v>86.9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1</v>
      </c>
      <c r="L307">
        <v>538376</v>
      </c>
    </row>
    <row r="308" spans="1:12">
      <c r="A308" s="4">
        <v>22387.26</v>
      </c>
      <c r="B308" s="4">
        <v>6301</v>
      </c>
      <c r="C308" s="4">
        <v>0.14599999999999999</v>
      </c>
      <c r="D308" s="4">
        <v>14</v>
      </c>
      <c r="E308" s="4">
        <v>85.9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665342.49</v>
      </c>
    </row>
    <row r="309" spans="1:12">
      <c r="A309" s="4">
        <v>60684.05</v>
      </c>
      <c r="B309" s="4">
        <v>6399</v>
      </c>
      <c r="C309" s="4">
        <v>7.4999999999999997E-2</v>
      </c>
      <c r="D309" s="4">
        <v>16</v>
      </c>
      <c r="E309" s="4">
        <v>99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651164.18000000005</v>
      </c>
    </row>
    <row r="310" spans="1:12">
      <c r="A310" s="4">
        <v>48465.599999999999</v>
      </c>
      <c r="B310" s="4">
        <v>5759</v>
      </c>
      <c r="C310" s="4">
        <v>0.154</v>
      </c>
      <c r="D310" s="4">
        <v>13</v>
      </c>
      <c r="E310" s="4">
        <v>87.5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628538.30000000005</v>
      </c>
    </row>
    <row r="311" spans="1:12">
      <c r="A311" s="4">
        <v>23702.38</v>
      </c>
      <c r="B311" s="4">
        <v>5285</v>
      </c>
      <c r="C311" s="4">
        <v>0.16700000000000001</v>
      </c>
      <c r="D311" s="4">
        <v>14</v>
      </c>
      <c r="E311" s="4">
        <v>79.7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536524.84</v>
      </c>
    </row>
    <row r="312" spans="1:12">
      <c r="A312" s="4">
        <v>54322.94</v>
      </c>
      <c r="B312" s="4">
        <v>5434</v>
      </c>
      <c r="C312" s="4">
        <v>0.2</v>
      </c>
      <c r="D312" s="4">
        <v>13</v>
      </c>
      <c r="E312" s="4">
        <v>85.7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621677.30000000005</v>
      </c>
    </row>
    <row r="313" spans="1:12">
      <c r="A313" s="4">
        <v>86026.58</v>
      </c>
      <c r="B313" s="4">
        <v>7479</v>
      </c>
      <c r="C313" s="4">
        <v>0.14199999999999999</v>
      </c>
      <c r="D313" s="4">
        <v>20</v>
      </c>
      <c r="E313" s="4">
        <v>89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771129.07</v>
      </c>
    </row>
    <row r="314" spans="1:12">
      <c r="A314" s="4">
        <v>78967.520000000004</v>
      </c>
      <c r="B314" s="4">
        <v>6164</v>
      </c>
      <c r="C314" s="4">
        <v>2.1000000000000001E-2</v>
      </c>
      <c r="D314" s="4">
        <v>16</v>
      </c>
      <c r="E314" s="4">
        <v>85.5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702052.47</v>
      </c>
    </row>
    <row r="315" spans="1:12">
      <c r="A315" s="4">
        <v>46767.99</v>
      </c>
      <c r="B315" s="4">
        <v>7973</v>
      </c>
      <c r="C315" s="4">
        <v>0.183</v>
      </c>
      <c r="D315" s="4">
        <v>18</v>
      </c>
      <c r="E315" s="4">
        <v>94.8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688368.46</v>
      </c>
    </row>
    <row r="316" spans="1:12">
      <c r="A316" s="4">
        <v>62507.16</v>
      </c>
      <c r="B316" s="4">
        <v>6000</v>
      </c>
      <c r="C316" s="4">
        <v>9.0999999999999998E-2</v>
      </c>
      <c r="D316" s="4">
        <v>14</v>
      </c>
      <c r="E316" s="4">
        <v>98.2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712375.77</v>
      </c>
    </row>
    <row r="317" spans="1:12">
      <c r="A317" s="4">
        <v>66456.28</v>
      </c>
      <c r="B317" s="4">
        <v>9967</v>
      </c>
      <c r="C317" s="4">
        <v>0.108</v>
      </c>
      <c r="D317" s="4">
        <v>20</v>
      </c>
      <c r="E317" s="4">
        <v>94.7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844710.67</v>
      </c>
    </row>
    <row r="318" spans="1:12">
      <c r="A318" s="4">
        <v>76614.320000000007</v>
      </c>
      <c r="B318" s="4">
        <v>5639</v>
      </c>
      <c r="C318" s="4">
        <v>0.17399999999999999</v>
      </c>
      <c r="D318" s="4">
        <v>15</v>
      </c>
      <c r="E318" s="4">
        <v>92.9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620264.19999999995</v>
      </c>
    </row>
    <row r="319" spans="1:12">
      <c r="A319" s="4">
        <v>24088.06</v>
      </c>
      <c r="B319" s="4">
        <v>3466</v>
      </c>
      <c r="C319" s="4">
        <v>0</v>
      </c>
      <c r="D319" s="4">
        <v>11</v>
      </c>
      <c r="E319" s="4">
        <v>88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536845.42000000004</v>
      </c>
    </row>
    <row r="320" spans="1:12">
      <c r="A320" s="4">
        <v>81902.58</v>
      </c>
      <c r="B320" s="4">
        <v>7775</v>
      </c>
      <c r="C320" s="4">
        <v>0.215</v>
      </c>
      <c r="D320" s="4">
        <v>20</v>
      </c>
      <c r="E320" s="4">
        <v>85.2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726776.22</v>
      </c>
    </row>
    <row r="321" spans="1:12">
      <c r="A321" s="4">
        <v>40553.11</v>
      </c>
      <c r="B321" s="4">
        <v>5317</v>
      </c>
      <c r="C321" s="4">
        <v>0.16500000000000001</v>
      </c>
      <c r="D321" s="4">
        <v>17</v>
      </c>
      <c r="E321" s="4">
        <v>84.3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559660.84</v>
      </c>
    </row>
  </sheetData>
  <autoFilter ref="A1:L1" xr:uid="{66F1A815-078B-462B-8D71-72FBA953CA1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A235-DEC9-48B8-BB6C-B6CAB6893911}">
  <dimension ref="A1:P321"/>
  <sheetViews>
    <sheetView tabSelected="1" topLeftCell="E1" workbookViewId="0">
      <selection activeCell="Q6" sqref="Q6"/>
    </sheetView>
  </sheetViews>
  <sheetFormatPr defaultColWidth="12.5703125" defaultRowHeight="15"/>
  <sheetData>
    <row r="1" spans="1:16" ht="4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  <c r="K1" s="3" t="s">
        <v>112</v>
      </c>
      <c r="L1" s="1" t="s">
        <v>137</v>
      </c>
      <c r="M1" s="1" t="s">
        <v>138</v>
      </c>
      <c r="N1" s="1" t="s">
        <v>12</v>
      </c>
      <c r="O1" s="1" t="s">
        <v>139</v>
      </c>
      <c r="P1" s="1" t="s">
        <v>122</v>
      </c>
    </row>
    <row r="2" spans="1:16">
      <c r="A2" s="4">
        <v>70389.11</v>
      </c>
      <c r="B2" s="4">
        <v>8302</v>
      </c>
      <c r="C2" s="4">
        <v>4.2000000000000003E-2</v>
      </c>
      <c r="D2" s="4">
        <v>17</v>
      </c>
      <c r="E2" s="4">
        <v>75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 t="s">
        <v>14</v>
      </c>
      <c r="M2">
        <v>658832.62</v>
      </c>
      <c r="N2">
        <v>658832.62</v>
      </c>
      <c r="O2">
        <f>114687.202
+(1.164070198*A2)
+(28.70319921*B2)
-(47096.9846*C2)
+(2853.233001*D2)
+(2956.046845*E2)
+(7700.568958*F2)
+(19440.62508*G2)
+(18502.25223*H2)
+(21712.02719*I2)
+(11909.7725*J2)
-(17398.20911*K2)</f>
        <v>685751.21898496372</v>
      </c>
      <c r="P2">
        <f t="shared" ref="P2:P65" si="0">N2-O2</f>
        <v>-26918.598984963726</v>
      </c>
    </row>
    <row r="3" spans="1:16">
      <c r="A3" s="4">
        <v>43827.89</v>
      </c>
      <c r="B3" s="4">
        <v>8487</v>
      </c>
      <c r="C3" s="4">
        <v>0.16800000000000001</v>
      </c>
      <c r="D3" s="4">
        <v>23</v>
      </c>
      <c r="E3" s="4">
        <v>84.4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 t="s">
        <v>14</v>
      </c>
      <c r="M3">
        <v>634436</v>
      </c>
      <c r="N3">
        <v>634436</v>
      </c>
      <c r="O3">
        <f t="shared" ref="O3:O66" si="1">114687.202
+(1.164070198*A3)
+(28.70319921*B3)
-(47096.9846*C3)
+(2853.233001*D3)
+(2956.046845*E3)
+(7700.568958*F3)
+(19440.62508*G3)
+(18502.25223*H3)
+(21712.02719*I3)
+(11909.7725*J3)
-(17398.20911*K3)</f>
        <v>699114.2045036921</v>
      </c>
      <c r="P3">
        <f t="shared" si="0"/>
        <v>-64678.204503692104</v>
      </c>
    </row>
    <row r="4" spans="1:16">
      <c r="A4" s="4">
        <v>59921.75</v>
      </c>
      <c r="B4" s="4">
        <v>9113</v>
      </c>
      <c r="C4" s="4">
        <v>0.13300000000000001</v>
      </c>
      <c r="D4" s="4">
        <v>20</v>
      </c>
      <c r="E4" s="4">
        <v>88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 t="s">
        <v>14</v>
      </c>
      <c r="M4">
        <v>678722.06</v>
      </c>
      <c r="N4">
        <v>678722.06</v>
      </c>
      <c r="O4">
        <f t="shared" si="1"/>
        <v>739547.25410593639</v>
      </c>
      <c r="P4">
        <f t="shared" si="0"/>
        <v>-60825.194105936331</v>
      </c>
    </row>
    <row r="5" spans="1:16">
      <c r="A5" s="4">
        <v>56856.63</v>
      </c>
      <c r="B5" s="4">
        <v>9431</v>
      </c>
      <c r="C5" s="4">
        <v>0.14199999999999999</v>
      </c>
      <c r="D5" s="4">
        <v>23</v>
      </c>
      <c r="E5" s="4">
        <v>86.9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 t="s">
        <v>14</v>
      </c>
      <c r="M5">
        <v>658920.30000000005</v>
      </c>
      <c r="N5">
        <v>658920.30000000005</v>
      </c>
      <c r="O5">
        <f t="shared" si="1"/>
        <v>749991.03122152272</v>
      </c>
      <c r="P5">
        <f t="shared" si="0"/>
        <v>-91070.73122152267</v>
      </c>
    </row>
    <row r="6" spans="1:16">
      <c r="A6" s="4">
        <v>48412.639999999999</v>
      </c>
      <c r="B6" s="4">
        <v>9545</v>
      </c>
      <c r="C6" s="4">
        <v>0.23100000000000001</v>
      </c>
      <c r="D6" s="4">
        <v>21</v>
      </c>
      <c r="E6" s="4">
        <v>97.6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17</v>
      </c>
      <c r="M6">
        <v>741341.44</v>
      </c>
      <c r="N6">
        <v>741341.44</v>
      </c>
      <c r="O6">
        <f t="shared" si="1"/>
        <v>782563.61154035281</v>
      </c>
      <c r="P6">
        <f t="shared" si="0"/>
        <v>-41222.171540352865</v>
      </c>
    </row>
    <row r="7" spans="1:16">
      <c r="A7" s="4">
        <v>64811.21</v>
      </c>
      <c r="B7" s="4">
        <v>9792</v>
      </c>
      <c r="C7" s="4">
        <v>0.112</v>
      </c>
      <c r="D7" s="4">
        <v>20</v>
      </c>
      <c r="E7" s="4">
        <v>84.2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17</v>
      </c>
      <c r="M7">
        <v>761835.34</v>
      </c>
      <c r="N7">
        <v>761835.34</v>
      </c>
      <c r="O7">
        <f t="shared" si="1"/>
        <v>771882.66881543957</v>
      </c>
      <c r="P7">
        <f t="shared" si="0"/>
        <v>-10047.3288154396</v>
      </c>
    </row>
    <row r="8" spans="1:16">
      <c r="A8" s="4">
        <v>46213.45</v>
      </c>
      <c r="B8" s="4">
        <v>10616</v>
      </c>
      <c r="C8" s="4">
        <v>0.122</v>
      </c>
      <c r="D8" s="4">
        <v>22</v>
      </c>
      <c r="E8" s="4">
        <v>85.2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17</v>
      </c>
      <c r="M8">
        <v>806615.54</v>
      </c>
      <c r="N8">
        <v>806615.54</v>
      </c>
      <c r="O8">
        <f t="shared" si="1"/>
        <v>782076.54979992309</v>
      </c>
      <c r="P8">
        <f t="shared" si="0"/>
        <v>24538.990200076951</v>
      </c>
    </row>
    <row r="9" spans="1:16">
      <c r="A9" s="4">
        <v>68148.52</v>
      </c>
      <c r="B9" s="4">
        <v>8567</v>
      </c>
      <c r="C9" s="4">
        <v>0.127</v>
      </c>
      <c r="D9" s="4">
        <v>23</v>
      </c>
      <c r="E9" s="4">
        <v>95.6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17</v>
      </c>
      <c r="M9">
        <v>850164.26</v>
      </c>
      <c r="N9">
        <v>850164.26</v>
      </c>
      <c r="O9">
        <f t="shared" si="1"/>
        <v>782158.29116267688</v>
      </c>
      <c r="P9">
        <f t="shared" si="0"/>
        <v>68005.968837323133</v>
      </c>
    </row>
    <row r="10" spans="1:16">
      <c r="A10" s="4">
        <v>71838.86</v>
      </c>
      <c r="B10" s="4">
        <v>10979</v>
      </c>
      <c r="C10" s="4">
        <v>0.215</v>
      </c>
      <c r="D10" s="4">
        <v>26</v>
      </c>
      <c r="E10" s="4">
        <v>88.6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 t="s">
        <v>19</v>
      </c>
      <c r="M10">
        <v>930581.7</v>
      </c>
      <c r="N10">
        <v>930581.7</v>
      </c>
      <c r="O10">
        <f t="shared" si="1"/>
        <v>868821.65506288433</v>
      </c>
      <c r="P10">
        <f t="shared" si="0"/>
        <v>61760.044937115628</v>
      </c>
    </row>
    <row r="11" spans="1:16">
      <c r="A11" s="4">
        <v>68133.440000000002</v>
      </c>
      <c r="B11" s="4">
        <v>9459</v>
      </c>
      <c r="C11" s="4">
        <v>0.22</v>
      </c>
      <c r="D11" s="4">
        <v>21</v>
      </c>
      <c r="E11" s="4">
        <v>85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 t="s">
        <v>19</v>
      </c>
      <c r="M11">
        <v>779010.94</v>
      </c>
      <c r="N11">
        <v>779010.94</v>
      </c>
      <c r="O11">
        <f t="shared" si="1"/>
        <v>795736.00470061123</v>
      </c>
      <c r="P11">
        <f t="shared" si="0"/>
        <v>-16725.064700611285</v>
      </c>
    </row>
    <row r="12" spans="1:16">
      <c r="A12" s="4">
        <v>34285.21</v>
      </c>
      <c r="B12" s="4">
        <v>9172</v>
      </c>
      <c r="C12" s="4">
        <v>0.21299999999999999</v>
      </c>
      <c r="D12" s="4">
        <v>22</v>
      </c>
      <c r="E12" s="4">
        <v>88.3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 t="s">
        <v>19</v>
      </c>
      <c r="M12">
        <v>723060.76</v>
      </c>
      <c r="N12">
        <v>723060.76</v>
      </c>
      <c r="O12">
        <f t="shared" si="1"/>
        <v>761034.33721099165</v>
      </c>
      <c r="P12">
        <f t="shared" si="0"/>
        <v>-37973.577210991643</v>
      </c>
    </row>
    <row r="13" spans="1:16">
      <c r="A13" s="4">
        <v>67979.88</v>
      </c>
      <c r="B13" s="4">
        <v>11230</v>
      </c>
      <c r="C13" s="4">
        <v>2E-3</v>
      </c>
      <c r="D13" s="4">
        <v>28</v>
      </c>
      <c r="E13" s="4">
        <v>85.3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 t="s">
        <v>19</v>
      </c>
      <c r="M13">
        <v>910791.94</v>
      </c>
      <c r="N13">
        <v>910791.94</v>
      </c>
      <c r="O13">
        <f t="shared" si="1"/>
        <v>877517.20358521631</v>
      </c>
      <c r="P13">
        <f t="shared" si="0"/>
        <v>33274.736414783634</v>
      </c>
    </row>
    <row r="14" spans="1:16">
      <c r="A14" s="4">
        <v>71828.259999999995</v>
      </c>
      <c r="B14" s="4">
        <v>12775</v>
      </c>
      <c r="C14" s="4">
        <v>0.11600000000000001</v>
      </c>
      <c r="D14" s="4">
        <v>30</v>
      </c>
      <c r="E14" s="4">
        <v>81.7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 t="s">
        <v>22</v>
      </c>
      <c r="M14">
        <v>922168.6</v>
      </c>
      <c r="N14">
        <v>922168.6</v>
      </c>
      <c r="O14">
        <f t="shared" si="1"/>
        <v>869228.26669084548</v>
      </c>
      <c r="P14">
        <f t="shared" si="0"/>
        <v>52940.333309154492</v>
      </c>
    </row>
    <row r="15" spans="1:16">
      <c r="A15" s="4">
        <v>55716.82</v>
      </c>
      <c r="B15" s="4">
        <v>10054</v>
      </c>
      <c r="C15" s="4">
        <v>0.14599999999999999</v>
      </c>
      <c r="D15" s="4">
        <v>24</v>
      </c>
      <c r="E15" s="4">
        <v>84.9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 t="s">
        <v>22</v>
      </c>
      <c r="M15">
        <v>726606.28</v>
      </c>
      <c r="N15">
        <v>726606.28</v>
      </c>
      <c r="O15">
        <f t="shared" si="1"/>
        <v>763299.05684957036</v>
      </c>
      <c r="P15">
        <f t="shared" si="0"/>
        <v>-36692.776849570335</v>
      </c>
    </row>
    <row r="16" spans="1:16">
      <c r="A16" s="4">
        <v>59909.51</v>
      </c>
      <c r="B16" s="4">
        <v>8895</v>
      </c>
      <c r="C16" s="4">
        <v>0.22800000000000001</v>
      </c>
      <c r="D16" s="4">
        <v>23</v>
      </c>
      <c r="E16" s="4">
        <v>88.8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 t="s">
        <v>22</v>
      </c>
      <c r="M16">
        <v>746501.09</v>
      </c>
      <c r="N16">
        <v>746501.09</v>
      </c>
      <c r="O16">
        <f t="shared" si="1"/>
        <v>739726.03140093293</v>
      </c>
      <c r="P16">
        <f t="shared" si="0"/>
        <v>6775.058599067037</v>
      </c>
    </row>
    <row r="17" spans="1:16">
      <c r="A17" s="4">
        <v>75305.710000000006</v>
      </c>
      <c r="B17" s="4">
        <v>10940</v>
      </c>
      <c r="C17" s="4">
        <v>6.0000000000000001E-3</v>
      </c>
      <c r="D17" s="4">
        <v>26</v>
      </c>
      <c r="E17" s="4">
        <v>76.5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 t="s">
        <v>22</v>
      </c>
      <c r="M17">
        <v>834017.02</v>
      </c>
      <c r="N17">
        <v>834017.02</v>
      </c>
      <c r="O17">
        <f t="shared" si="1"/>
        <v>799002.18475853058</v>
      </c>
      <c r="P17">
        <f t="shared" si="0"/>
        <v>35014.835241469438</v>
      </c>
    </row>
    <row r="18" spans="1:16">
      <c r="A18" s="4">
        <v>48804.22</v>
      </c>
      <c r="B18" s="4">
        <v>7057</v>
      </c>
      <c r="C18" s="4">
        <v>5.0000000000000001E-3</v>
      </c>
      <c r="D18" s="4">
        <v>15</v>
      </c>
      <c r="E18" s="4">
        <v>87.7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 t="s">
        <v>23</v>
      </c>
      <c r="M18">
        <v>666152.52</v>
      </c>
      <c r="N18">
        <v>666152.52</v>
      </c>
      <c r="O18">
        <f t="shared" si="1"/>
        <v>677907.95123210549</v>
      </c>
      <c r="P18">
        <f t="shared" si="0"/>
        <v>-11755.431232105475</v>
      </c>
    </row>
    <row r="19" spans="1:16">
      <c r="A19" s="4">
        <v>59117.9</v>
      </c>
      <c r="B19" s="4">
        <v>4263</v>
      </c>
      <c r="C19" s="4">
        <v>0.11899999999999999</v>
      </c>
      <c r="D19" s="4">
        <v>9</v>
      </c>
      <c r="E19" s="4">
        <v>87.6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 t="s">
        <v>23</v>
      </c>
      <c r="M19">
        <v>573155.18999999994</v>
      </c>
      <c r="N19">
        <v>573155.18999999994</v>
      </c>
      <c r="O19">
        <f t="shared" si="1"/>
        <v>586933.00122417416</v>
      </c>
      <c r="P19">
        <f t="shared" si="0"/>
        <v>-13777.81122417422</v>
      </c>
    </row>
    <row r="20" spans="1:16">
      <c r="A20" s="4">
        <v>78831.12</v>
      </c>
      <c r="B20" s="4">
        <v>5538</v>
      </c>
      <c r="C20" s="4">
        <v>0</v>
      </c>
      <c r="D20" s="4">
        <v>15</v>
      </c>
      <c r="E20" s="4">
        <v>94.1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 t="s">
        <v>23</v>
      </c>
      <c r="M20">
        <v>666573.19999999995</v>
      </c>
      <c r="N20">
        <v>666573.19999999995</v>
      </c>
      <c r="O20">
        <f t="shared" si="1"/>
        <v>688415.39579144167</v>
      </c>
      <c r="P20">
        <f t="shared" si="0"/>
        <v>-21842.195791441714</v>
      </c>
    </row>
    <row r="21" spans="1:16">
      <c r="A21" s="4">
        <v>41441.93</v>
      </c>
      <c r="B21" s="4">
        <v>4865</v>
      </c>
      <c r="C21" s="4">
        <v>0.158</v>
      </c>
      <c r="D21" s="4">
        <v>16</v>
      </c>
      <c r="E21" s="4">
        <v>88.3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 t="s">
        <v>23</v>
      </c>
      <c r="M21">
        <v>591619.94999999995</v>
      </c>
      <c r="N21">
        <v>591619.94999999995</v>
      </c>
      <c r="O21">
        <f t="shared" si="1"/>
        <v>603841.33864995209</v>
      </c>
      <c r="P21">
        <f t="shared" si="0"/>
        <v>-12221.388649952132</v>
      </c>
    </row>
    <row r="22" spans="1:16">
      <c r="A22" s="4">
        <v>30356.28</v>
      </c>
      <c r="B22" s="4">
        <v>2822</v>
      </c>
      <c r="C22" s="4">
        <v>0.23100000000000001</v>
      </c>
      <c r="D22" s="4">
        <v>9</v>
      </c>
      <c r="E22" s="4">
        <v>84.8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 t="s">
        <v>25</v>
      </c>
      <c r="M22">
        <v>415721.82</v>
      </c>
      <c r="N22">
        <v>415721.82</v>
      </c>
      <c r="O22">
        <f t="shared" si="1"/>
        <v>486799.29691116337</v>
      </c>
      <c r="P22">
        <f t="shared" si="0"/>
        <v>-71077.476911163365</v>
      </c>
    </row>
    <row r="23" spans="1:16">
      <c r="A23" s="4">
        <v>33518.879999999997</v>
      </c>
      <c r="B23" s="4">
        <v>2121</v>
      </c>
      <c r="C23" s="4">
        <v>0.17599999999999999</v>
      </c>
      <c r="D23" s="4">
        <v>8</v>
      </c>
      <c r="E23" s="4">
        <v>88.5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 t="s">
        <v>25</v>
      </c>
      <c r="M23">
        <v>491905.13</v>
      </c>
      <c r="N23">
        <v>491905.13</v>
      </c>
      <c r="O23">
        <f t="shared" si="1"/>
        <v>481034.31715164823</v>
      </c>
      <c r="P23">
        <f t="shared" si="0"/>
        <v>10870.812848351779</v>
      </c>
    </row>
    <row r="24" spans="1:16">
      <c r="A24" s="4">
        <v>42267.37</v>
      </c>
      <c r="B24" s="4">
        <v>3364</v>
      </c>
      <c r="C24" s="4">
        <v>0.16</v>
      </c>
      <c r="D24" s="4">
        <v>13</v>
      </c>
      <c r="E24" s="4">
        <v>82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 t="s">
        <v>25</v>
      </c>
      <c r="M24">
        <v>555929.4</v>
      </c>
      <c r="N24">
        <v>555929.4</v>
      </c>
      <c r="O24">
        <f t="shared" si="1"/>
        <v>522701.66252227937</v>
      </c>
      <c r="P24">
        <f t="shared" si="0"/>
        <v>33227.737477720657</v>
      </c>
    </row>
    <row r="25" spans="1:16">
      <c r="A25" s="4">
        <v>62060.43</v>
      </c>
      <c r="B25" s="4">
        <v>2613</v>
      </c>
      <c r="C25" s="4">
        <v>0.216</v>
      </c>
      <c r="D25" s="4">
        <v>12</v>
      </c>
      <c r="E25" s="4">
        <v>92.1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 t="s">
        <v>25</v>
      </c>
      <c r="M25">
        <v>565810.99</v>
      </c>
      <c r="N25">
        <v>565810.99</v>
      </c>
      <c r="O25">
        <f t="shared" si="1"/>
        <v>548551.4801846951</v>
      </c>
      <c r="P25">
        <f t="shared" si="0"/>
        <v>17259.509815304889</v>
      </c>
    </row>
    <row r="26" spans="1:16">
      <c r="A26" s="4">
        <v>57696.69</v>
      </c>
      <c r="B26" s="4">
        <v>10218</v>
      </c>
      <c r="C26" s="4">
        <v>0.121</v>
      </c>
      <c r="D26" s="4">
        <v>25</v>
      </c>
      <c r="E26" s="4">
        <v>94.8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 t="s">
        <v>26</v>
      </c>
      <c r="M26">
        <v>811771.14</v>
      </c>
      <c r="N26">
        <v>811771.14</v>
      </c>
      <c r="O26">
        <f t="shared" si="1"/>
        <v>851416.84440442454</v>
      </c>
      <c r="P26">
        <f t="shared" si="0"/>
        <v>-39645.704404424527</v>
      </c>
    </row>
    <row r="27" spans="1:16">
      <c r="A27" s="4">
        <v>172415.52</v>
      </c>
      <c r="B27" s="4">
        <v>8927</v>
      </c>
      <c r="C27" s="4">
        <v>0.14000000000000001</v>
      </c>
      <c r="D27" s="4">
        <v>22</v>
      </c>
      <c r="E27" s="4">
        <v>86.2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 t="s">
        <v>26</v>
      </c>
      <c r="M27">
        <v>800451.94</v>
      </c>
      <c r="N27">
        <v>800451.94</v>
      </c>
      <c r="O27">
        <f t="shared" si="1"/>
        <v>913025.24079934286</v>
      </c>
      <c r="P27">
        <f t="shared" si="0"/>
        <v>-112573.30079934292</v>
      </c>
    </row>
    <row r="28" spans="1:16">
      <c r="A28" s="4">
        <v>55270.52</v>
      </c>
      <c r="B28" s="4">
        <v>9315</v>
      </c>
      <c r="C28" s="4">
        <v>0.16900000000000001</v>
      </c>
      <c r="D28" s="4">
        <v>23</v>
      </c>
      <c r="E28" s="4">
        <v>91.9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 t="s">
        <v>26</v>
      </c>
      <c r="M28">
        <v>783672.82</v>
      </c>
      <c r="N28">
        <v>783672.82</v>
      </c>
      <c r="O28">
        <f t="shared" si="1"/>
        <v>806133.96621221292</v>
      </c>
      <c r="P28">
        <f t="shared" si="0"/>
        <v>-22461.146212212974</v>
      </c>
    </row>
    <row r="29" spans="1:16">
      <c r="A29" s="4">
        <v>52715.1</v>
      </c>
      <c r="B29" s="4">
        <v>7223</v>
      </c>
      <c r="C29" s="4">
        <v>0.122</v>
      </c>
      <c r="D29" s="4">
        <v>16</v>
      </c>
      <c r="E29" s="4">
        <v>84.2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 t="s">
        <v>26</v>
      </c>
      <c r="M29">
        <v>701641.97</v>
      </c>
      <c r="N29">
        <v>701641.97</v>
      </c>
      <c r="O29">
        <f t="shared" si="1"/>
        <v>702591.55176221975</v>
      </c>
      <c r="P29">
        <f t="shared" si="0"/>
        <v>-949.58176221977919</v>
      </c>
    </row>
    <row r="30" spans="1:16">
      <c r="A30" s="4">
        <v>68600.62</v>
      </c>
      <c r="B30" s="4">
        <v>3988</v>
      </c>
      <c r="C30" s="4">
        <v>0.124</v>
      </c>
      <c r="D30" s="4">
        <v>11</v>
      </c>
      <c r="E30" s="4">
        <v>85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 t="s">
        <v>29</v>
      </c>
      <c r="M30">
        <v>511844.41</v>
      </c>
      <c r="N30">
        <v>511844.41</v>
      </c>
      <c r="O30">
        <f t="shared" si="1"/>
        <v>568422.80739140266</v>
      </c>
      <c r="P30">
        <f t="shared" si="0"/>
        <v>-56578.397391402686</v>
      </c>
    </row>
    <row r="31" spans="1:16">
      <c r="A31" s="4">
        <v>63176.73</v>
      </c>
      <c r="B31" s="4">
        <v>2390</v>
      </c>
      <c r="C31" s="4">
        <v>0.216</v>
      </c>
      <c r="D31" s="4">
        <v>9</v>
      </c>
      <c r="E31" s="4">
        <v>87.5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 t="s">
        <v>29</v>
      </c>
      <c r="M31">
        <v>537383.79</v>
      </c>
      <c r="N31">
        <v>537383.79</v>
      </c>
      <c r="O31">
        <f t="shared" si="1"/>
        <v>513592.0348748925</v>
      </c>
      <c r="P31">
        <f t="shared" si="0"/>
        <v>23791.755125107535</v>
      </c>
    </row>
    <row r="32" spans="1:16">
      <c r="A32" s="4">
        <v>44970.080000000002</v>
      </c>
      <c r="B32" s="4">
        <v>2471</v>
      </c>
      <c r="C32" s="4">
        <v>0.13600000000000001</v>
      </c>
      <c r="D32" s="4">
        <v>11</v>
      </c>
      <c r="E32" s="4">
        <v>87.6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 t="s">
        <v>29</v>
      </c>
      <c r="M32">
        <v>500173.02</v>
      </c>
      <c r="N32">
        <v>500173.02</v>
      </c>
      <c r="O32">
        <f t="shared" si="1"/>
        <v>504493.00479498581</v>
      </c>
      <c r="P32">
        <f t="shared" si="0"/>
        <v>-4319.984794985794</v>
      </c>
    </row>
    <row r="33" spans="1:16">
      <c r="A33" s="4">
        <v>69816.350000000006</v>
      </c>
      <c r="B33" s="4">
        <v>971</v>
      </c>
      <c r="C33" s="4">
        <v>0.16800000000000001</v>
      </c>
      <c r="D33" s="4">
        <v>5</v>
      </c>
      <c r="E33" s="4">
        <v>89.9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 t="s">
        <v>29</v>
      </c>
      <c r="M33">
        <v>427917.38</v>
      </c>
      <c r="N33">
        <v>427917.38</v>
      </c>
      <c r="O33">
        <f t="shared" si="1"/>
        <v>478533.4146487473</v>
      </c>
      <c r="P33">
        <f t="shared" si="0"/>
        <v>-50616.0346487473</v>
      </c>
    </row>
    <row r="34" spans="1:16">
      <c r="A34" s="4">
        <v>54597.83</v>
      </c>
      <c r="B34" s="4">
        <v>9429</v>
      </c>
      <c r="C34" s="4">
        <v>0.188</v>
      </c>
      <c r="D34" s="4">
        <v>21</v>
      </c>
      <c r="E34" s="4">
        <v>83.3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 t="s">
        <v>30</v>
      </c>
      <c r="M34">
        <v>641865.03</v>
      </c>
      <c r="N34">
        <v>641865.03</v>
      </c>
      <c r="O34">
        <f t="shared" si="1"/>
        <v>736490.09608226037</v>
      </c>
      <c r="P34">
        <f t="shared" si="0"/>
        <v>-94625.066082260339</v>
      </c>
    </row>
    <row r="35" spans="1:16">
      <c r="A35" s="4">
        <v>73771.91</v>
      </c>
      <c r="B35" s="4">
        <v>11695</v>
      </c>
      <c r="C35" s="4">
        <v>7.0000000000000007E-2</v>
      </c>
      <c r="D35" s="4">
        <v>25</v>
      </c>
      <c r="E35" s="4">
        <v>84.7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 t="s">
        <v>30</v>
      </c>
      <c r="M35">
        <v>799477.76000000001</v>
      </c>
      <c r="N35">
        <v>799477.76000000001</v>
      </c>
      <c r="O35">
        <f t="shared" si="1"/>
        <v>844960.36236398818</v>
      </c>
      <c r="P35">
        <f t="shared" si="0"/>
        <v>-45482.602363988175</v>
      </c>
    </row>
    <row r="36" spans="1:16">
      <c r="A36" s="4">
        <v>74413.88</v>
      </c>
      <c r="B36" s="4">
        <v>9449</v>
      </c>
      <c r="C36" s="4">
        <v>3.9E-2</v>
      </c>
      <c r="D36" s="4">
        <v>23</v>
      </c>
      <c r="E36" s="4">
        <v>92.1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 t="s">
        <v>30</v>
      </c>
      <c r="M36">
        <v>798952.17</v>
      </c>
      <c r="N36">
        <v>798952.17</v>
      </c>
      <c r="O36">
        <f t="shared" si="1"/>
        <v>798868.5622569382</v>
      </c>
      <c r="P36">
        <f t="shared" si="0"/>
        <v>83.607743061846122</v>
      </c>
    </row>
    <row r="37" spans="1:16">
      <c r="A37" s="4">
        <v>52483.77</v>
      </c>
      <c r="B37" s="4">
        <v>10453</v>
      </c>
      <c r="C37" s="4">
        <v>0.247</v>
      </c>
      <c r="D37" s="4">
        <v>25</v>
      </c>
      <c r="E37" s="4">
        <v>99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 t="s">
        <v>30</v>
      </c>
      <c r="M37">
        <v>800979.78</v>
      </c>
      <c r="N37">
        <v>800979.78</v>
      </c>
      <c r="O37">
        <f t="shared" si="1"/>
        <v>818465.40320961643</v>
      </c>
      <c r="P37">
        <f t="shared" si="0"/>
        <v>-17485.623209616402</v>
      </c>
    </row>
    <row r="38" spans="1:16">
      <c r="A38" s="4">
        <v>75269.87</v>
      </c>
      <c r="B38" s="4">
        <v>8838</v>
      </c>
      <c r="C38" s="4">
        <v>9.1999999999999998E-2</v>
      </c>
      <c r="D38" s="4">
        <v>21</v>
      </c>
      <c r="E38" s="4">
        <v>83.1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 t="s">
        <v>31</v>
      </c>
      <c r="M38">
        <v>820593.93</v>
      </c>
      <c r="N38">
        <v>820593.93</v>
      </c>
      <c r="O38">
        <f t="shared" si="1"/>
        <v>776828.29380761436</v>
      </c>
      <c r="P38">
        <f t="shared" si="0"/>
        <v>43765.636192385689</v>
      </c>
    </row>
    <row r="39" spans="1:16">
      <c r="A39" s="4">
        <v>61245.41</v>
      </c>
      <c r="B39" s="4">
        <v>8156</v>
      </c>
      <c r="C39" s="4">
        <v>0.156</v>
      </c>
      <c r="D39" s="4">
        <v>19</v>
      </c>
      <c r="E39" s="4">
        <v>92.9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 t="s">
        <v>31</v>
      </c>
      <c r="M39">
        <v>718330.53</v>
      </c>
      <c r="N39">
        <v>718330.53</v>
      </c>
      <c r="O39">
        <f t="shared" si="1"/>
        <v>761175.84208195121</v>
      </c>
      <c r="P39">
        <f t="shared" si="0"/>
        <v>-42845.312081951182</v>
      </c>
    </row>
    <row r="40" spans="1:16">
      <c r="A40" s="4">
        <v>93381.26</v>
      </c>
      <c r="B40" s="4">
        <v>7562</v>
      </c>
      <c r="C40" s="4">
        <v>0.19800000000000001</v>
      </c>
      <c r="D40" s="4">
        <v>19</v>
      </c>
      <c r="E40" s="4">
        <v>82.9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 t="s">
        <v>31</v>
      </c>
      <c r="M40">
        <v>736633.4</v>
      </c>
      <c r="N40">
        <v>736633.4</v>
      </c>
      <c r="O40">
        <f t="shared" si="1"/>
        <v>749995.98522040946</v>
      </c>
      <c r="P40">
        <f t="shared" si="0"/>
        <v>-13362.585220409441</v>
      </c>
    </row>
    <row r="41" spans="1:16">
      <c r="A41" s="4">
        <v>65012.19</v>
      </c>
      <c r="B41" s="4">
        <v>9598</v>
      </c>
      <c r="C41" s="4">
        <v>8.5000000000000006E-2</v>
      </c>
      <c r="D41" s="4">
        <v>24</v>
      </c>
      <c r="E41" s="4">
        <v>98.3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 t="s">
        <v>31</v>
      </c>
      <c r="M41">
        <v>828623.85</v>
      </c>
      <c r="N41">
        <v>828623.85</v>
      </c>
      <c r="O41">
        <f t="shared" si="1"/>
        <v>840523.35555779375</v>
      </c>
      <c r="P41">
        <f t="shared" si="0"/>
        <v>-11899.505557793775</v>
      </c>
    </row>
    <row r="42" spans="1:16">
      <c r="A42" s="4">
        <v>40462.94</v>
      </c>
      <c r="B42" s="4">
        <v>3660</v>
      </c>
      <c r="C42" s="4">
        <v>0.218</v>
      </c>
      <c r="D42" s="4">
        <v>11</v>
      </c>
      <c r="E42" s="4">
        <v>95.2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 t="s">
        <v>32</v>
      </c>
      <c r="M42">
        <v>592195.85</v>
      </c>
      <c r="N42">
        <v>592195.85</v>
      </c>
      <c r="O42">
        <f t="shared" si="1"/>
        <v>581286.46619826206</v>
      </c>
      <c r="P42">
        <f t="shared" si="0"/>
        <v>10909.383801737917</v>
      </c>
    </row>
    <row r="43" spans="1:16">
      <c r="A43" s="4">
        <v>46123.88</v>
      </c>
      <c r="B43" s="4">
        <v>3227</v>
      </c>
      <c r="C43" s="4">
        <v>0.14299999999999999</v>
      </c>
      <c r="D43" s="4">
        <v>10</v>
      </c>
      <c r="E43" s="4">
        <v>75.400000000000006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 t="s">
        <v>32</v>
      </c>
      <c r="M43">
        <v>532644.46</v>
      </c>
      <c r="N43">
        <v>532644.46</v>
      </c>
      <c r="O43">
        <f t="shared" si="1"/>
        <v>517597.02579999826</v>
      </c>
      <c r="P43">
        <f t="shared" si="0"/>
        <v>15047.434200001706</v>
      </c>
    </row>
    <row r="44" spans="1:16">
      <c r="A44" s="4">
        <v>68077.539999999994</v>
      </c>
      <c r="B44" s="4">
        <v>3360</v>
      </c>
      <c r="C44" s="4">
        <v>0.128</v>
      </c>
      <c r="D44" s="4">
        <v>14</v>
      </c>
      <c r="E44" s="4">
        <v>88.2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 t="s">
        <v>32</v>
      </c>
      <c r="M44">
        <v>657429.18000000005</v>
      </c>
      <c r="N44">
        <v>657429.18000000005</v>
      </c>
      <c r="O44">
        <f t="shared" si="1"/>
        <v>596926.93902695284</v>
      </c>
      <c r="P44">
        <f t="shared" si="0"/>
        <v>60502.240973047214</v>
      </c>
    </row>
    <row r="45" spans="1:16">
      <c r="A45" s="4">
        <v>64882.14</v>
      </c>
      <c r="B45" s="4">
        <v>3642</v>
      </c>
      <c r="C45" s="4">
        <v>1.9E-2</v>
      </c>
      <c r="D45" s="4">
        <v>13</v>
      </c>
      <c r="E45" s="4">
        <v>87.8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 t="s">
        <v>32</v>
      </c>
      <c r="M45">
        <v>605178</v>
      </c>
      <c r="N45">
        <v>605178</v>
      </c>
      <c r="O45">
        <f t="shared" si="1"/>
        <v>602399.49087588373</v>
      </c>
      <c r="P45">
        <f t="shared" si="0"/>
        <v>2778.5091241162736</v>
      </c>
    </row>
    <row r="46" spans="1:16">
      <c r="A46" s="4">
        <v>138855.51</v>
      </c>
      <c r="B46" s="4">
        <v>5145</v>
      </c>
      <c r="C46" s="4">
        <v>0.06</v>
      </c>
      <c r="D46" s="4">
        <v>17</v>
      </c>
      <c r="E46" s="4">
        <v>88.2</v>
      </c>
      <c r="F46">
        <v>0</v>
      </c>
      <c r="G46">
        <v>0</v>
      </c>
      <c r="H46">
        <v>1</v>
      </c>
      <c r="I46">
        <v>0</v>
      </c>
      <c r="J46">
        <v>0</v>
      </c>
      <c r="K46">
        <v>1</v>
      </c>
      <c r="L46" t="s">
        <v>33</v>
      </c>
      <c r="M46">
        <v>595467.6</v>
      </c>
      <c r="N46">
        <v>595467.6</v>
      </c>
      <c r="O46">
        <f t="shared" si="1"/>
        <v>731509.23974454089</v>
      </c>
      <c r="P46">
        <f t="shared" si="0"/>
        <v>-136041.63974454091</v>
      </c>
    </row>
    <row r="47" spans="1:16">
      <c r="A47" s="4">
        <v>63630.21</v>
      </c>
      <c r="B47" s="4">
        <v>4460</v>
      </c>
      <c r="C47" s="4">
        <v>0.23499999999999999</v>
      </c>
      <c r="D47" s="4">
        <v>14</v>
      </c>
      <c r="E47" s="4">
        <v>98.6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 t="s">
        <v>33</v>
      </c>
      <c r="M47">
        <v>599603.4</v>
      </c>
      <c r="N47">
        <v>599603.4</v>
      </c>
      <c r="O47">
        <f t="shared" si="1"/>
        <v>638221.2343000815</v>
      </c>
      <c r="P47">
        <f t="shared" si="0"/>
        <v>-38617.834300081478</v>
      </c>
    </row>
    <row r="48" spans="1:16">
      <c r="A48" s="4">
        <v>50043.65</v>
      </c>
      <c r="B48" s="4">
        <v>3804</v>
      </c>
      <c r="C48" s="4">
        <v>0.113</v>
      </c>
      <c r="D48" s="4">
        <v>11</v>
      </c>
      <c r="E48" s="4">
        <v>90.9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 t="s">
        <v>33</v>
      </c>
      <c r="M48">
        <v>614800.09</v>
      </c>
      <c r="N48">
        <v>614800.09</v>
      </c>
      <c r="O48">
        <f t="shared" si="1"/>
        <v>578000.7984406827</v>
      </c>
      <c r="P48">
        <f t="shared" si="0"/>
        <v>36799.291559317266</v>
      </c>
    </row>
    <row r="49" spans="1:16">
      <c r="A49" s="4">
        <v>42093.84</v>
      </c>
      <c r="B49" s="4">
        <v>4074</v>
      </c>
      <c r="C49" s="4">
        <v>0.155</v>
      </c>
      <c r="D49" s="4">
        <v>15</v>
      </c>
      <c r="E49" s="4">
        <v>88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 t="s">
        <v>33</v>
      </c>
      <c r="M49">
        <v>585365.73</v>
      </c>
      <c r="N49">
        <v>585365.73</v>
      </c>
      <c r="O49">
        <f t="shared" si="1"/>
        <v>577358.84812692029</v>
      </c>
      <c r="P49">
        <f t="shared" si="0"/>
        <v>8006.881873079692</v>
      </c>
    </row>
    <row r="50" spans="1:16">
      <c r="A50" s="4">
        <v>46624.05</v>
      </c>
      <c r="B50" s="4">
        <v>5104</v>
      </c>
      <c r="C50" s="4">
        <v>0.109</v>
      </c>
      <c r="D50" s="4">
        <v>11</v>
      </c>
      <c r="E50" s="4">
        <v>97.3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 t="s">
        <v>34</v>
      </c>
      <c r="M50">
        <v>622811.74</v>
      </c>
      <c r="N50">
        <v>622811.74</v>
      </c>
      <c r="O50">
        <f t="shared" si="1"/>
        <v>648947.6890490019</v>
      </c>
      <c r="P50">
        <f t="shared" si="0"/>
        <v>-26135.949049001909</v>
      </c>
    </row>
    <row r="51" spans="1:16">
      <c r="A51" s="4">
        <v>49710.29</v>
      </c>
      <c r="B51" s="4">
        <v>5559</v>
      </c>
      <c r="C51" s="4">
        <v>0.218</v>
      </c>
      <c r="D51" s="4">
        <v>14</v>
      </c>
      <c r="E51" s="4">
        <v>71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 t="s">
        <v>34</v>
      </c>
      <c r="M51">
        <v>603297.56999999995</v>
      </c>
      <c r="N51">
        <v>603297.56999999995</v>
      </c>
      <c r="O51">
        <f t="shared" si="1"/>
        <v>591282.34035552735</v>
      </c>
      <c r="P51">
        <f t="shared" si="0"/>
        <v>12015.229644472594</v>
      </c>
    </row>
    <row r="52" spans="1:16">
      <c r="A52" s="4">
        <v>48287.85</v>
      </c>
      <c r="B52" s="4">
        <v>5150</v>
      </c>
      <c r="C52" s="4">
        <v>8.0000000000000002E-3</v>
      </c>
      <c r="D52" s="4">
        <v>12</v>
      </c>
      <c r="E52" s="4">
        <v>80.400000000000006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 t="s">
        <v>34</v>
      </c>
      <c r="M52">
        <v>625672.86</v>
      </c>
      <c r="N52">
        <v>625672.86</v>
      </c>
      <c r="O52">
        <f t="shared" si="1"/>
        <v>609857.65297319426</v>
      </c>
      <c r="P52">
        <f t="shared" si="0"/>
        <v>15815.207026805729</v>
      </c>
    </row>
    <row r="53" spans="1:16">
      <c r="A53" s="4">
        <v>65312.49</v>
      </c>
      <c r="B53" s="4">
        <v>7189</v>
      </c>
      <c r="C53" s="4">
        <v>0.05</v>
      </c>
      <c r="D53" s="4">
        <v>19</v>
      </c>
      <c r="E53" s="4">
        <v>93.7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 t="s">
        <v>34</v>
      </c>
      <c r="M53">
        <v>773815.14</v>
      </c>
      <c r="N53">
        <v>773815.14</v>
      </c>
      <c r="O53">
        <f t="shared" si="1"/>
        <v>745511.33291036298</v>
      </c>
      <c r="P53">
        <f t="shared" si="0"/>
        <v>28303.807089637034</v>
      </c>
    </row>
    <row r="54" spans="1:16">
      <c r="A54" s="4">
        <v>53015.46</v>
      </c>
      <c r="B54" s="4">
        <v>3279</v>
      </c>
      <c r="C54" s="4">
        <v>8.6999999999999994E-2</v>
      </c>
      <c r="D54" s="4">
        <v>9</v>
      </c>
      <c r="E54" s="4">
        <v>84.3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 t="s">
        <v>35</v>
      </c>
      <c r="M54">
        <v>463534.25</v>
      </c>
      <c r="N54">
        <v>463534.25</v>
      </c>
      <c r="O54">
        <f t="shared" si="1"/>
        <v>559797.36984115106</v>
      </c>
      <c r="P54">
        <f t="shared" si="0"/>
        <v>-96263.119841151056</v>
      </c>
    </row>
    <row r="55" spans="1:16">
      <c r="A55" s="4">
        <v>99874.01</v>
      </c>
      <c r="B55" s="4">
        <v>5887</v>
      </c>
      <c r="C55" s="4">
        <v>0.26200000000000001</v>
      </c>
      <c r="D55" s="4">
        <v>14</v>
      </c>
      <c r="E55" s="4">
        <v>88.7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 t="s">
        <v>35</v>
      </c>
      <c r="M55">
        <v>746677.75</v>
      </c>
      <c r="N55">
        <v>746677.75</v>
      </c>
      <c r="O55">
        <f t="shared" si="1"/>
        <v>708232.75377532386</v>
      </c>
      <c r="P55">
        <f t="shared" si="0"/>
        <v>38444.996224676142</v>
      </c>
    </row>
    <row r="56" spans="1:16">
      <c r="A56" s="4">
        <v>81195.5</v>
      </c>
      <c r="B56" s="4">
        <v>5516</v>
      </c>
      <c r="C56" s="4">
        <v>0.106</v>
      </c>
      <c r="D56" s="4">
        <v>14</v>
      </c>
      <c r="E56" s="4">
        <v>88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 t="s">
        <v>35</v>
      </c>
      <c r="M56">
        <v>720852.5</v>
      </c>
      <c r="N56">
        <v>720852.5</v>
      </c>
      <c r="O56">
        <f t="shared" si="1"/>
        <v>681118.666840469</v>
      </c>
      <c r="P56">
        <f t="shared" si="0"/>
        <v>39733.833159531001</v>
      </c>
    </row>
    <row r="57" spans="1:16">
      <c r="A57" s="4">
        <v>27808.6</v>
      </c>
      <c r="B57" s="4">
        <v>2863</v>
      </c>
      <c r="C57" s="4">
        <v>0.08</v>
      </c>
      <c r="D57" s="4">
        <v>13</v>
      </c>
      <c r="E57" s="4">
        <v>89.3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 t="s">
        <v>35</v>
      </c>
      <c r="M57">
        <v>487464.91</v>
      </c>
      <c r="N57">
        <v>487464.91</v>
      </c>
      <c r="O57">
        <f t="shared" si="1"/>
        <v>545037.12957983278</v>
      </c>
      <c r="P57">
        <f t="shared" si="0"/>
        <v>-57572.219579832803</v>
      </c>
    </row>
    <row r="58" spans="1:16">
      <c r="A58" s="4">
        <v>19365.060000000001</v>
      </c>
      <c r="B58" s="4">
        <v>2378</v>
      </c>
      <c r="C58" s="4">
        <v>0</v>
      </c>
      <c r="D58" s="4">
        <v>12</v>
      </c>
      <c r="E58" s="4">
        <v>94.8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 t="s">
        <v>36</v>
      </c>
      <c r="M58">
        <v>518049.26</v>
      </c>
      <c r="N58">
        <v>518049.26</v>
      </c>
      <c r="O58">
        <f t="shared" si="1"/>
        <v>541669.76305786183</v>
      </c>
      <c r="P58">
        <f t="shared" si="0"/>
        <v>-23620.503057861817</v>
      </c>
    </row>
    <row r="59" spans="1:16">
      <c r="A59" s="4">
        <v>59405.68</v>
      </c>
      <c r="B59" s="4">
        <v>2515</v>
      </c>
      <c r="C59" s="4">
        <v>3.9E-2</v>
      </c>
      <c r="D59" s="4">
        <v>12</v>
      </c>
      <c r="E59" s="4">
        <v>76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 t="s">
        <v>36</v>
      </c>
      <c r="M59">
        <v>500298.48</v>
      </c>
      <c r="N59">
        <v>500298.48</v>
      </c>
      <c r="O59">
        <f t="shared" si="1"/>
        <v>534801.73071567458</v>
      </c>
      <c r="P59">
        <f t="shared" si="0"/>
        <v>-34503.2507156746</v>
      </c>
    </row>
    <row r="60" spans="1:16">
      <c r="A60" s="4">
        <v>118910.48</v>
      </c>
      <c r="B60" s="4">
        <v>4022</v>
      </c>
      <c r="C60" s="4">
        <v>0.13700000000000001</v>
      </c>
      <c r="D60" s="4">
        <v>11</v>
      </c>
      <c r="E60" s="4">
        <v>87.1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 t="s">
        <v>36</v>
      </c>
      <c r="M60">
        <v>617291.15</v>
      </c>
      <c r="N60">
        <v>617291.15</v>
      </c>
      <c r="O60">
        <f t="shared" si="1"/>
        <v>672668.59873079509</v>
      </c>
      <c r="P60">
        <f t="shared" si="0"/>
        <v>-55377.448730795062</v>
      </c>
    </row>
    <row r="61" spans="1:16">
      <c r="A61" s="4">
        <v>52952.12</v>
      </c>
      <c r="B61" s="4">
        <v>4377</v>
      </c>
      <c r="C61" s="4">
        <v>9.1999999999999998E-2</v>
      </c>
      <c r="D61" s="4">
        <v>14</v>
      </c>
      <c r="E61" s="4">
        <v>88.6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 t="s">
        <v>36</v>
      </c>
      <c r="M61">
        <v>553756.43000000005</v>
      </c>
      <c r="N61">
        <v>553756.43000000005</v>
      </c>
      <c r="O61">
        <f t="shared" si="1"/>
        <v>621191.20684288978</v>
      </c>
      <c r="P61">
        <f t="shared" si="0"/>
        <v>-67434.776842889725</v>
      </c>
    </row>
    <row r="62" spans="1:16">
      <c r="A62" s="4">
        <v>74907.98</v>
      </c>
      <c r="B62" s="4">
        <v>5306</v>
      </c>
      <c r="C62" s="4">
        <v>6.2E-2</v>
      </c>
      <c r="D62" s="4">
        <v>16</v>
      </c>
      <c r="E62" s="4">
        <v>95.6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 t="s">
        <v>37</v>
      </c>
      <c r="M62">
        <v>749559.71</v>
      </c>
      <c r="N62">
        <v>749559.71</v>
      </c>
      <c r="O62">
        <f t="shared" si="1"/>
        <v>698954.94255144009</v>
      </c>
      <c r="P62">
        <f t="shared" si="0"/>
        <v>50604.767448559869</v>
      </c>
    </row>
    <row r="63" spans="1:16">
      <c r="A63" s="4">
        <v>37284.660000000003</v>
      </c>
      <c r="B63" s="4">
        <v>3928</v>
      </c>
      <c r="C63" s="4">
        <v>7.3999999999999996E-2</v>
      </c>
      <c r="D63" s="4">
        <v>12</v>
      </c>
      <c r="E63" s="4">
        <v>86.5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 t="s">
        <v>37</v>
      </c>
      <c r="M63">
        <v>615966.48</v>
      </c>
      <c r="N63">
        <v>615966.48</v>
      </c>
      <c r="O63">
        <f t="shared" si="1"/>
        <v>576727.62636954268</v>
      </c>
      <c r="P63">
        <f t="shared" si="0"/>
        <v>39238.853630457306</v>
      </c>
    </row>
    <row r="64" spans="1:16">
      <c r="A64" s="4">
        <v>50343.19</v>
      </c>
      <c r="B64" s="4">
        <v>3845</v>
      </c>
      <c r="C64" s="4">
        <v>0.113</v>
      </c>
      <c r="D64" s="4">
        <v>9</v>
      </c>
      <c r="E64" s="4">
        <v>88.7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 t="s">
        <v>37</v>
      </c>
      <c r="M64">
        <v>572011.19999999995</v>
      </c>
      <c r="N64">
        <v>572011.19999999995</v>
      </c>
      <c r="O64">
        <f t="shared" si="1"/>
        <v>585653.12809440168</v>
      </c>
      <c r="P64">
        <f t="shared" si="0"/>
        <v>-13641.928094401723</v>
      </c>
    </row>
    <row r="65" spans="1:16">
      <c r="A65" s="4">
        <v>74954.47</v>
      </c>
      <c r="B65" s="4">
        <v>6620</v>
      </c>
      <c r="C65" s="4">
        <v>5.3999999999999999E-2</v>
      </c>
      <c r="D65" s="4">
        <v>17</v>
      </c>
      <c r="E65" s="4">
        <v>91.1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 t="s">
        <v>37</v>
      </c>
      <c r="M65">
        <v>761860.19</v>
      </c>
      <c r="N65">
        <v>761860.19</v>
      </c>
      <c r="O65">
        <f t="shared" si="1"/>
        <v>726652.86201218504</v>
      </c>
      <c r="P65">
        <f t="shared" si="0"/>
        <v>35207.327987814904</v>
      </c>
    </row>
    <row r="66" spans="1:16">
      <c r="A66" s="4">
        <v>70040.31</v>
      </c>
      <c r="B66" s="4">
        <v>9175</v>
      </c>
      <c r="C66" s="4">
        <v>0.107</v>
      </c>
      <c r="D66" s="4">
        <v>23</v>
      </c>
      <c r="E66" s="4">
        <v>95.1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 t="s">
        <v>38</v>
      </c>
      <c r="M66">
        <v>784502.68</v>
      </c>
      <c r="N66">
        <v>784502.68</v>
      </c>
      <c r="O66">
        <f t="shared" si="1"/>
        <v>819778.18114173133</v>
      </c>
      <c r="P66">
        <f t="shared" ref="P66:P129" si="2">N66-O66</f>
        <v>-35275.501141731278</v>
      </c>
    </row>
    <row r="67" spans="1:16">
      <c r="A67" s="4">
        <v>51148.69</v>
      </c>
      <c r="B67" s="4">
        <v>7940</v>
      </c>
      <c r="C67" s="4">
        <v>0.156</v>
      </c>
      <c r="D67" s="4">
        <v>18</v>
      </c>
      <c r="E67" s="4">
        <v>93.3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 t="s">
        <v>38</v>
      </c>
      <c r="M67">
        <v>717141.55</v>
      </c>
      <c r="N67">
        <v>717141.55</v>
      </c>
      <c r="O67">
        <f t="shared" ref="O67:O130" si="3">114687.202
+(1.164070198*A67)
+(28.70319921*B67)
-(47096.9846*C67)
+(2853.233001*D67)
+(2956.046845*E67)
+(7700.568958*F67)
+(19440.62508*G67)
+(18502.25223*H67)
+(21712.02719*I67)
+(11909.7725*J67)
-(17398.20911*K67)</f>
        <v>740443.75671204063</v>
      </c>
      <c r="P67">
        <f t="shared" si="2"/>
        <v>-23302.206712040585</v>
      </c>
    </row>
    <row r="68" spans="1:16">
      <c r="A68" s="4">
        <v>79346.100000000006</v>
      </c>
      <c r="B68" s="4">
        <v>9628</v>
      </c>
      <c r="C68" s="4">
        <v>0.10199999999999999</v>
      </c>
      <c r="D68" s="4">
        <v>20</v>
      </c>
      <c r="E68" s="4">
        <v>99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 t="s">
        <v>38</v>
      </c>
      <c r="M68">
        <v>685379.08</v>
      </c>
      <c r="N68">
        <v>685379.08</v>
      </c>
      <c r="O68">
        <f t="shared" si="3"/>
        <v>846817.69180720777</v>
      </c>
      <c r="P68">
        <f t="shared" si="2"/>
        <v>-161438.61180720781</v>
      </c>
    </row>
    <row r="69" spans="1:16">
      <c r="A69" s="4">
        <v>42018.400000000001</v>
      </c>
      <c r="B69" s="4">
        <v>8296</v>
      </c>
      <c r="C69" s="4">
        <v>0.115</v>
      </c>
      <c r="D69" s="4">
        <v>17</v>
      </c>
      <c r="E69" s="4">
        <v>91.8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 t="s">
        <v>38</v>
      </c>
      <c r="M69">
        <v>740496.65</v>
      </c>
      <c r="N69">
        <v>740496.65</v>
      </c>
      <c r="O69">
        <f t="shared" si="3"/>
        <v>734677.47024280322</v>
      </c>
      <c r="P69">
        <f t="shared" si="2"/>
        <v>5819.1797571968054</v>
      </c>
    </row>
    <row r="70" spans="1:16">
      <c r="A70" s="4">
        <v>70937.240000000005</v>
      </c>
      <c r="B70" s="4">
        <v>3595</v>
      </c>
      <c r="C70" s="4">
        <v>0.14099999999999999</v>
      </c>
      <c r="D70" s="4">
        <v>11</v>
      </c>
      <c r="E70" s="4">
        <v>88.9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39</v>
      </c>
      <c r="M70">
        <v>661927.14</v>
      </c>
      <c r="N70">
        <v>661927.14</v>
      </c>
      <c r="O70">
        <f t="shared" si="3"/>
        <v>587988.58287522348</v>
      </c>
      <c r="P70">
        <f t="shared" si="2"/>
        <v>73938.557124776533</v>
      </c>
    </row>
    <row r="71" spans="1:16">
      <c r="A71" s="4">
        <v>36813.449999999997</v>
      </c>
      <c r="B71" s="4">
        <v>2834</v>
      </c>
      <c r="C71" s="4">
        <v>0.191</v>
      </c>
      <c r="D71" s="4">
        <v>11</v>
      </c>
      <c r="E71" s="4">
        <v>81.8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39</v>
      </c>
      <c r="M71">
        <v>479050.5</v>
      </c>
      <c r="N71">
        <v>479050.5</v>
      </c>
      <c r="O71">
        <f t="shared" si="3"/>
        <v>503080.17946510308</v>
      </c>
      <c r="P71">
        <f t="shared" si="2"/>
        <v>-24029.67946510308</v>
      </c>
    </row>
    <row r="72" spans="1:16">
      <c r="A72" s="4">
        <v>60571.82</v>
      </c>
      <c r="B72" s="4">
        <v>3193</v>
      </c>
      <c r="C72" s="4">
        <v>0.19700000000000001</v>
      </c>
      <c r="D72" s="4">
        <v>7</v>
      </c>
      <c r="E72" s="4">
        <v>99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39</v>
      </c>
      <c r="M72">
        <v>605023.87</v>
      </c>
      <c r="N72">
        <v>605023.87</v>
      </c>
      <c r="O72">
        <f t="shared" si="3"/>
        <v>580189.53027395031</v>
      </c>
      <c r="P72">
        <f t="shared" si="2"/>
        <v>24834.339726049686</v>
      </c>
    </row>
    <row r="73" spans="1:16">
      <c r="A73" s="4">
        <v>55081.16</v>
      </c>
      <c r="B73" s="4">
        <v>5485</v>
      </c>
      <c r="C73" s="4">
        <v>3.5999999999999997E-2</v>
      </c>
      <c r="D73" s="4">
        <v>12</v>
      </c>
      <c r="E73" s="4">
        <v>88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39</v>
      </c>
      <c r="M73">
        <v>674774.09</v>
      </c>
      <c r="N73">
        <v>674774.09</v>
      </c>
      <c r="O73">
        <f t="shared" si="3"/>
        <v>628918.01342051965</v>
      </c>
      <c r="P73">
        <f t="shared" si="2"/>
        <v>45856.076579480316</v>
      </c>
    </row>
    <row r="74" spans="1:16">
      <c r="A74" s="4">
        <v>46201.46</v>
      </c>
      <c r="B74" s="4">
        <v>5918</v>
      </c>
      <c r="C74" s="4">
        <v>0.27700000000000002</v>
      </c>
      <c r="D74" s="4">
        <v>13</v>
      </c>
      <c r="E74" s="4">
        <v>78.8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 t="s">
        <v>40</v>
      </c>
      <c r="M74">
        <v>616069.41</v>
      </c>
      <c r="N74">
        <v>616069.41</v>
      </c>
      <c r="O74">
        <f t="shared" si="3"/>
        <v>577918.92416966904</v>
      </c>
      <c r="P74">
        <f t="shared" si="2"/>
        <v>38150.485830330988</v>
      </c>
    </row>
    <row r="75" spans="1:16">
      <c r="A75" s="4">
        <v>53762.92</v>
      </c>
      <c r="B75" s="4">
        <v>6821</v>
      </c>
      <c r="C75" s="4">
        <v>6.6000000000000003E-2</v>
      </c>
      <c r="D75" s="4">
        <v>19</v>
      </c>
      <c r="E75" s="4">
        <v>94.6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 t="s">
        <v>40</v>
      </c>
      <c r="M75">
        <v>630829.93999999994</v>
      </c>
      <c r="N75">
        <v>630829.93999999994</v>
      </c>
      <c r="O75">
        <f t="shared" si="3"/>
        <v>686402.38520326803</v>
      </c>
      <c r="P75">
        <f t="shared" si="2"/>
        <v>-55572.445203268086</v>
      </c>
    </row>
    <row r="76" spans="1:16">
      <c r="A76" s="4">
        <v>70144.78</v>
      </c>
      <c r="B76" s="4">
        <v>6806</v>
      </c>
      <c r="C76" s="4">
        <v>0.17799999999999999</v>
      </c>
      <c r="D76" s="4">
        <v>20</v>
      </c>
      <c r="E76" s="4">
        <v>93.1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 t="s">
        <v>40</v>
      </c>
      <c r="M76">
        <v>788087.68</v>
      </c>
      <c r="N76">
        <v>788087.68</v>
      </c>
      <c r="O76">
        <f t="shared" si="3"/>
        <v>698185.77268722642</v>
      </c>
      <c r="P76">
        <f t="shared" si="2"/>
        <v>89901.907312773634</v>
      </c>
    </row>
    <row r="77" spans="1:16">
      <c r="A77" s="4">
        <v>58749.63</v>
      </c>
      <c r="B77" s="4">
        <v>8252</v>
      </c>
      <c r="C77" s="4">
        <v>0.20300000000000001</v>
      </c>
      <c r="D77" s="4">
        <v>20</v>
      </c>
      <c r="E77" s="4">
        <v>85.2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 t="s">
        <v>40</v>
      </c>
      <c r="M77">
        <v>680840.36</v>
      </c>
      <c r="N77">
        <v>680840.36</v>
      </c>
      <c r="O77">
        <f t="shared" si="3"/>
        <v>701895.64953764668</v>
      </c>
      <c r="P77">
        <f t="shared" si="2"/>
        <v>-21055.289537646691</v>
      </c>
    </row>
    <row r="78" spans="1:16">
      <c r="A78" s="4">
        <v>56973.18</v>
      </c>
      <c r="B78" s="4">
        <v>6662</v>
      </c>
      <c r="C78" s="4">
        <v>0.1</v>
      </c>
      <c r="D78" s="4">
        <v>15</v>
      </c>
      <c r="E78" s="4">
        <v>77.7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 t="s">
        <v>41</v>
      </c>
      <c r="M78">
        <v>643657.47</v>
      </c>
      <c r="N78">
        <v>643657.47</v>
      </c>
      <c r="O78">
        <f t="shared" si="3"/>
        <v>659442.95755180973</v>
      </c>
      <c r="P78">
        <f t="shared" si="2"/>
        <v>-15785.487551809754</v>
      </c>
    </row>
    <row r="79" spans="1:16">
      <c r="A79" s="4">
        <v>54872.82</v>
      </c>
      <c r="B79" s="4">
        <v>5962</v>
      </c>
      <c r="C79" s="4">
        <v>6.4000000000000001E-2</v>
      </c>
      <c r="D79" s="4">
        <v>12</v>
      </c>
      <c r="E79" s="4">
        <v>85.4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 t="s">
        <v>41</v>
      </c>
      <c r="M79">
        <v>691112.6</v>
      </c>
      <c r="N79">
        <v>691112.6</v>
      </c>
      <c r="O79">
        <f t="shared" si="3"/>
        <v>652803.10477283841</v>
      </c>
      <c r="P79">
        <f t="shared" si="2"/>
        <v>38309.495227161562</v>
      </c>
    </row>
    <row r="80" spans="1:16">
      <c r="A80" s="4">
        <v>80562.81</v>
      </c>
      <c r="B80" s="4">
        <v>7470</v>
      </c>
      <c r="C80" s="4">
        <v>0.17199999999999999</v>
      </c>
      <c r="D80" s="4">
        <v>16</v>
      </c>
      <c r="E80" s="4">
        <v>83.5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 t="s">
        <v>41</v>
      </c>
      <c r="M80">
        <v>776922.17</v>
      </c>
      <c r="N80">
        <v>776922.17</v>
      </c>
      <c r="O80">
        <f t="shared" si="3"/>
        <v>726702.44958913641</v>
      </c>
      <c r="P80">
        <f t="shared" si="2"/>
        <v>50219.720410863636</v>
      </c>
    </row>
    <row r="81" spans="1:16">
      <c r="A81" s="4">
        <v>77999.899999999994</v>
      </c>
      <c r="B81" s="4">
        <v>5974</v>
      </c>
      <c r="C81" s="4">
        <v>0.252</v>
      </c>
      <c r="D81" s="4">
        <v>14</v>
      </c>
      <c r="E81" s="4">
        <v>81.3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 t="s">
        <v>41</v>
      </c>
      <c r="M81">
        <v>636561.34</v>
      </c>
      <c r="N81">
        <v>636561.34</v>
      </c>
      <c r="O81">
        <f t="shared" si="3"/>
        <v>664801.52859082026</v>
      </c>
      <c r="P81">
        <f t="shared" si="2"/>
        <v>-28240.188590820297</v>
      </c>
    </row>
    <row r="82" spans="1:16">
      <c r="A82" s="4">
        <v>60881.01</v>
      </c>
      <c r="B82" s="4">
        <v>5410</v>
      </c>
      <c r="C82" s="4">
        <v>0.17899999999999999</v>
      </c>
      <c r="D82" s="4">
        <v>15</v>
      </c>
      <c r="E82" s="4">
        <v>83.9</v>
      </c>
      <c r="F82">
        <v>0</v>
      </c>
      <c r="G82">
        <v>0</v>
      </c>
      <c r="H82">
        <v>1</v>
      </c>
      <c r="I82">
        <v>0</v>
      </c>
      <c r="J82">
        <v>1</v>
      </c>
      <c r="K82">
        <v>0</v>
      </c>
      <c r="L82" t="s">
        <v>42</v>
      </c>
      <c r="M82">
        <v>621369.57999999996</v>
      </c>
      <c r="N82">
        <v>621369.57999999996</v>
      </c>
      <c r="O82">
        <f t="shared" si="3"/>
        <v>653633.76888833998</v>
      </c>
      <c r="P82">
        <f t="shared" si="2"/>
        <v>-32264.188888340024</v>
      </c>
    </row>
    <row r="83" spans="1:16">
      <c r="A83" s="4">
        <v>60628.38</v>
      </c>
      <c r="B83" s="4">
        <v>4451</v>
      </c>
      <c r="C83" s="4">
        <v>9.5000000000000001E-2</v>
      </c>
      <c r="D83" s="4">
        <v>10</v>
      </c>
      <c r="E83" s="4">
        <v>89.6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 t="s">
        <v>42</v>
      </c>
      <c r="M83">
        <v>682208.01</v>
      </c>
      <c r="N83">
        <v>682208.01</v>
      </c>
      <c r="O83">
        <f t="shared" si="3"/>
        <v>632352.77050972916</v>
      </c>
      <c r="P83">
        <f t="shared" si="2"/>
        <v>49855.239490270847</v>
      </c>
    </row>
    <row r="84" spans="1:16">
      <c r="A84" s="4">
        <v>72731.14</v>
      </c>
      <c r="B84" s="4">
        <v>4644</v>
      </c>
      <c r="C84" s="4">
        <v>8.4000000000000005E-2</v>
      </c>
      <c r="D84" s="4">
        <v>15</v>
      </c>
      <c r="E84" s="4">
        <v>87.1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 t="s">
        <v>42</v>
      </c>
      <c r="M84">
        <v>727241.86</v>
      </c>
      <c r="N84">
        <v>727241.86</v>
      </c>
      <c r="O84">
        <f t="shared" si="3"/>
        <v>659375.06490990566</v>
      </c>
      <c r="P84">
        <f t="shared" si="2"/>
        <v>67866.795090094325</v>
      </c>
    </row>
    <row r="85" spans="1:16">
      <c r="A85" s="4">
        <v>36475.71</v>
      </c>
      <c r="B85" s="4">
        <v>3559</v>
      </c>
      <c r="C85" s="4">
        <v>0.03</v>
      </c>
      <c r="D85" s="4">
        <v>8</v>
      </c>
      <c r="E85" s="4">
        <v>83.6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 t="s">
        <v>42</v>
      </c>
      <c r="M85">
        <v>569100.78</v>
      </c>
      <c r="N85">
        <v>569100.78</v>
      </c>
      <c r="O85">
        <f t="shared" si="3"/>
        <v>558252.67039228044</v>
      </c>
      <c r="P85">
        <f t="shared" si="2"/>
        <v>10848.109607719583</v>
      </c>
    </row>
    <row r="86" spans="1:16">
      <c r="A86" s="4">
        <v>55388.11</v>
      </c>
      <c r="B86" s="4">
        <v>3091</v>
      </c>
      <c r="C86" s="4">
        <v>0.108</v>
      </c>
      <c r="D86" s="4">
        <v>7</v>
      </c>
      <c r="E86" s="4">
        <v>85.4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 t="s">
        <v>43</v>
      </c>
      <c r="M86">
        <v>574436.29</v>
      </c>
      <c r="N86">
        <v>574436.29</v>
      </c>
      <c r="O86">
        <f t="shared" si="3"/>
        <v>553719.24839585577</v>
      </c>
      <c r="P86">
        <f t="shared" si="2"/>
        <v>20717.041604144266</v>
      </c>
    </row>
    <row r="87" spans="1:16">
      <c r="A87" s="4">
        <v>88443.77</v>
      </c>
      <c r="B87" s="4">
        <v>4004</v>
      </c>
      <c r="C87" s="4">
        <v>0.20599999999999999</v>
      </c>
      <c r="D87" s="4">
        <v>11</v>
      </c>
      <c r="E87" s="4">
        <v>91.9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 t="s">
        <v>43</v>
      </c>
      <c r="M87">
        <v>611766.72</v>
      </c>
      <c r="N87">
        <v>611766.72</v>
      </c>
      <c r="O87">
        <f t="shared" si="3"/>
        <v>644416.10996150644</v>
      </c>
      <c r="P87">
        <f t="shared" si="2"/>
        <v>-32649.389961506473</v>
      </c>
    </row>
    <row r="88" spans="1:16">
      <c r="A88" s="4">
        <v>78231.91</v>
      </c>
      <c r="B88" s="4">
        <v>3788</v>
      </c>
      <c r="C88" s="4">
        <v>5.8999999999999997E-2</v>
      </c>
      <c r="D88" s="4">
        <v>11</v>
      </c>
      <c r="E88" s="4">
        <v>88.5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 t="s">
        <v>43</v>
      </c>
      <c r="M88">
        <v>614596.31999999995</v>
      </c>
      <c r="N88">
        <v>614596.31999999995</v>
      </c>
      <c r="O88">
        <f t="shared" si="3"/>
        <v>623201.59450319805</v>
      </c>
      <c r="P88">
        <f t="shared" si="2"/>
        <v>-8605.274503198103</v>
      </c>
    </row>
    <row r="89" spans="1:16">
      <c r="A89" s="4">
        <v>18996.32</v>
      </c>
      <c r="B89" s="4">
        <v>1260</v>
      </c>
      <c r="C89" s="4">
        <v>0.14499999999999999</v>
      </c>
      <c r="D89" s="4">
        <v>9</v>
      </c>
      <c r="E89" s="4">
        <v>86.4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 t="s">
        <v>43</v>
      </c>
      <c r="M89">
        <v>450711.92</v>
      </c>
      <c r="N89">
        <v>450711.92</v>
      </c>
      <c r="O89">
        <f t="shared" si="3"/>
        <v>465721.01686827134</v>
      </c>
      <c r="P89">
        <f t="shared" si="2"/>
        <v>-15009.096868271357</v>
      </c>
    </row>
    <row r="90" spans="1:16">
      <c r="A90" s="4">
        <v>50517.94</v>
      </c>
      <c r="B90" s="4">
        <v>7024</v>
      </c>
      <c r="C90" s="4">
        <v>2.9000000000000001E-2</v>
      </c>
      <c r="D90" s="4">
        <v>18</v>
      </c>
      <c r="E90" s="4">
        <v>79.2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 t="s">
        <v>44</v>
      </c>
      <c r="M90">
        <v>711213.46</v>
      </c>
      <c r="N90">
        <v>711213.46</v>
      </c>
      <c r="O90">
        <f t="shared" si="3"/>
        <v>690566.59083799215</v>
      </c>
      <c r="P90">
        <f t="shared" si="2"/>
        <v>20646.869162007817</v>
      </c>
    </row>
    <row r="91" spans="1:16">
      <c r="A91" s="4">
        <v>141540.29</v>
      </c>
      <c r="B91" s="4">
        <v>5400</v>
      </c>
      <c r="C91" s="4">
        <v>1.2999999999999999E-2</v>
      </c>
      <c r="D91" s="4">
        <v>12</v>
      </c>
      <c r="E91" s="4">
        <v>87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 t="s">
        <v>44</v>
      </c>
      <c r="M91">
        <v>627171.9</v>
      </c>
      <c r="N91">
        <v>627171.9</v>
      </c>
      <c r="O91">
        <f t="shared" si="3"/>
        <v>756600.31944647746</v>
      </c>
      <c r="P91">
        <f t="shared" si="2"/>
        <v>-129428.41944647743</v>
      </c>
    </row>
    <row r="92" spans="1:16">
      <c r="A92" s="4">
        <v>82116.19</v>
      </c>
      <c r="B92" s="4">
        <v>5988</v>
      </c>
      <c r="C92" s="4">
        <v>0.04</v>
      </c>
      <c r="D92" s="4">
        <v>17</v>
      </c>
      <c r="E92" s="4">
        <v>91.8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 t="s">
        <v>44</v>
      </c>
      <c r="M92">
        <v>739852.58</v>
      </c>
      <c r="N92">
        <v>739852.58</v>
      </c>
      <c r="O92">
        <f t="shared" si="3"/>
        <v>731487.54800578556</v>
      </c>
      <c r="P92">
        <f t="shared" si="2"/>
        <v>8365.0319942143979</v>
      </c>
    </row>
    <row r="93" spans="1:16">
      <c r="A93" s="4">
        <v>31207.51</v>
      </c>
      <c r="B93" s="4">
        <v>3701</v>
      </c>
      <c r="C93" s="4">
        <v>4.2999999999999997E-2</v>
      </c>
      <c r="D93" s="4">
        <v>11</v>
      </c>
      <c r="E93" s="4">
        <v>84.7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 t="s">
        <v>44</v>
      </c>
      <c r="M93">
        <v>586307.22</v>
      </c>
      <c r="N93">
        <v>586307.22</v>
      </c>
      <c r="O93">
        <f t="shared" si="3"/>
        <v>568333.43264569691</v>
      </c>
      <c r="P93">
        <f t="shared" si="2"/>
        <v>17973.787354303058</v>
      </c>
    </row>
    <row r="94" spans="1:16">
      <c r="A94" s="4">
        <v>38966.589999999997</v>
      </c>
      <c r="B94" s="4">
        <v>4509</v>
      </c>
      <c r="C94" s="4">
        <v>0.19400000000000001</v>
      </c>
      <c r="D94" s="4">
        <v>14</v>
      </c>
      <c r="E94" s="4">
        <v>91.1</v>
      </c>
      <c r="F94">
        <v>0</v>
      </c>
      <c r="G94">
        <v>0</v>
      </c>
      <c r="H94">
        <v>1</v>
      </c>
      <c r="I94">
        <v>0</v>
      </c>
      <c r="J94">
        <v>0</v>
      </c>
      <c r="K94">
        <v>1</v>
      </c>
      <c r="L94" t="s">
        <v>45</v>
      </c>
      <c r="M94">
        <v>585937.48</v>
      </c>
      <c r="N94">
        <v>585937.48</v>
      </c>
      <c r="O94">
        <f t="shared" si="3"/>
        <v>590678.13107567478</v>
      </c>
      <c r="P94">
        <f t="shared" si="2"/>
        <v>-4740.651075674803</v>
      </c>
    </row>
    <row r="95" spans="1:16">
      <c r="A95" s="4">
        <v>67439.3</v>
      </c>
      <c r="B95" s="4">
        <v>6477</v>
      </c>
      <c r="C95" s="4">
        <v>0</v>
      </c>
      <c r="D95" s="4">
        <v>16</v>
      </c>
      <c r="E95" s="4">
        <v>90.9</v>
      </c>
      <c r="F95">
        <v>0</v>
      </c>
      <c r="G95">
        <v>0</v>
      </c>
      <c r="H95">
        <v>1</v>
      </c>
      <c r="I95">
        <v>0</v>
      </c>
      <c r="J95">
        <v>0</v>
      </c>
      <c r="K95">
        <v>1</v>
      </c>
      <c r="L95" t="s">
        <v>45</v>
      </c>
      <c r="M95">
        <v>753473.55</v>
      </c>
      <c r="N95">
        <v>753473.55</v>
      </c>
      <c r="O95">
        <f t="shared" si="3"/>
        <v>694562.33193365135</v>
      </c>
      <c r="P95">
        <f t="shared" si="2"/>
        <v>58911.218066348694</v>
      </c>
    </row>
    <row r="96" spans="1:16">
      <c r="A96" s="4">
        <v>86421.88</v>
      </c>
      <c r="B96" s="4">
        <v>7970</v>
      </c>
      <c r="C96" s="4">
        <v>7.2999999999999995E-2</v>
      </c>
      <c r="D96" s="4">
        <v>17</v>
      </c>
      <c r="E96" s="4">
        <v>91.3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 t="s">
        <v>45</v>
      </c>
      <c r="M96">
        <v>838250.32</v>
      </c>
      <c r="N96">
        <v>838250.32</v>
      </c>
      <c r="O96">
        <f t="shared" si="3"/>
        <v>760110.83587653225</v>
      </c>
      <c r="P96">
        <f t="shared" si="2"/>
        <v>78139.484123467701</v>
      </c>
    </row>
    <row r="97" spans="1:16">
      <c r="A97" s="4">
        <v>9534.65</v>
      </c>
      <c r="B97" s="4">
        <v>6057</v>
      </c>
      <c r="C97" s="4">
        <v>7.3999999999999996E-2</v>
      </c>
      <c r="D97" s="4">
        <v>15</v>
      </c>
      <c r="E97" s="4">
        <v>94.1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  <c r="L97" t="s">
        <v>45</v>
      </c>
      <c r="M97">
        <v>607898.12</v>
      </c>
      <c r="N97">
        <v>607898.12</v>
      </c>
      <c r="O97">
        <f t="shared" si="3"/>
        <v>618222.85091743059</v>
      </c>
      <c r="P97">
        <f t="shared" si="2"/>
        <v>-10324.730917430599</v>
      </c>
    </row>
    <row r="98" spans="1:16">
      <c r="A98" s="4">
        <v>61132.07</v>
      </c>
      <c r="B98" s="4">
        <v>6394</v>
      </c>
      <c r="C98" s="4">
        <v>0.16300000000000001</v>
      </c>
      <c r="D98" s="4">
        <v>19</v>
      </c>
      <c r="E98" s="4">
        <v>91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 t="s">
        <v>46</v>
      </c>
      <c r="M98">
        <v>691113.62</v>
      </c>
      <c r="N98">
        <v>691113.62</v>
      </c>
      <c r="O98">
        <f t="shared" si="3"/>
        <v>715324.38473198982</v>
      </c>
      <c r="P98">
        <f t="shared" si="2"/>
        <v>-24210.764731989824</v>
      </c>
    </row>
    <row r="99" spans="1:16">
      <c r="A99" s="4">
        <v>78839.39</v>
      </c>
      <c r="B99" s="4">
        <v>5150</v>
      </c>
      <c r="C99" s="4">
        <v>0.17100000000000001</v>
      </c>
      <c r="D99" s="4">
        <v>13</v>
      </c>
      <c r="E99" s="4">
        <v>85.8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 t="s">
        <v>46</v>
      </c>
      <c r="M99">
        <v>735509.4</v>
      </c>
      <c r="N99">
        <v>735509.4</v>
      </c>
      <c r="O99">
        <f t="shared" si="3"/>
        <v>667362.55093639903</v>
      </c>
      <c r="P99">
        <f t="shared" si="2"/>
        <v>68146.849063600996</v>
      </c>
    </row>
    <row r="100" spans="1:16">
      <c r="A100" s="4">
        <v>38752.800000000003</v>
      </c>
      <c r="B100" s="4">
        <v>4712</v>
      </c>
      <c r="C100" s="4">
        <v>7.4999999999999997E-2</v>
      </c>
      <c r="D100" s="4">
        <v>15</v>
      </c>
      <c r="E100" s="4">
        <v>89.7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 t="s">
        <v>46</v>
      </c>
      <c r="M100">
        <v>605775.32999999996</v>
      </c>
      <c r="N100">
        <v>605775.32999999996</v>
      </c>
      <c r="O100">
        <f t="shared" si="3"/>
        <v>629883.30414307432</v>
      </c>
      <c r="P100">
        <f t="shared" si="2"/>
        <v>-24107.97414307436</v>
      </c>
    </row>
    <row r="101" spans="1:16">
      <c r="A101" s="4">
        <v>55101.1</v>
      </c>
      <c r="B101" s="4">
        <v>5281</v>
      </c>
      <c r="C101" s="4">
        <v>0.189</v>
      </c>
      <c r="D101" s="4">
        <v>11</v>
      </c>
      <c r="E101" s="4">
        <v>91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 t="s">
        <v>46</v>
      </c>
      <c r="M101">
        <v>675177.68</v>
      </c>
      <c r="N101">
        <v>675177.68</v>
      </c>
      <c r="O101">
        <f t="shared" si="3"/>
        <v>652306.8659616278</v>
      </c>
      <c r="P101">
        <f t="shared" si="2"/>
        <v>22870.814038372249</v>
      </c>
    </row>
    <row r="102" spans="1:16">
      <c r="A102" s="4">
        <v>53084.76</v>
      </c>
      <c r="B102" s="4">
        <v>3642</v>
      </c>
      <c r="C102" s="4">
        <v>0.15</v>
      </c>
      <c r="D102" s="4">
        <v>12</v>
      </c>
      <c r="E102" s="4">
        <v>91.4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 t="s">
        <v>47</v>
      </c>
      <c r="M102">
        <v>635181.35</v>
      </c>
      <c r="N102">
        <v>635181.35</v>
      </c>
      <c r="O102">
        <f t="shared" si="3"/>
        <v>590285.34306180244</v>
      </c>
      <c r="P102">
        <f t="shared" si="2"/>
        <v>44896.006938197534</v>
      </c>
    </row>
    <row r="103" spans="1:16">
      <c r="A103" s="4">
        <v>63101.59</v>
      </c>
      <c r="B103" s="4">
        <v>4373</v>
      </c>
      <c r="C103" s="4">
        <v>0.17299999999999999</v>
      </c>
      <c r="D103" s="4">
        <v>14</v>
      </c>
      <c r="E103" s="4">
        <v>90.4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 t="s">
        <v>47</v>
      </c>
      <c r="M103">
        <v>586626.93999999994</v>
      </c>
      <c r="N103">
        <v>586626.93999999994</v>
      </c>
      <c r="O103">
        <f t="shared" si="3"/>
        <v>624594.86347694485</v>
      </c>
      <c r="P103">
        <f t="shared" si="2"/>
        <v>-37967.92347694491</v>
      </c>
    </row>
    <row r="104" spans="1:16">
      <c r="A104" s="4">
        <v>90084.4</v>
      </c>
      <c r="B104" s="4">
        <v>6832</v>
      </c>
      <c r="C104" s="4">
        <v>0.185</v>
      </c>
      <c r="D104" s="4">
        <v>14</v>
      </c>
      <c r="E104" s="4">
        <v>80.5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 t="s">
        <v>47</v>
      </c>
      <c r="M104">
        <v>740102.64</v>
      </c>
      <c r="N104">
        <v>740102.64</v>
      </c>
      <c r="O104">
        <f t="shared" si="3"/>
        <v>696755.88773293106</v>
      </c>
      <c r="P104">
        <f t="shared" si="2"/>
        <v>43346.75226706895</v>
      </c>
    </row>
    <row r="105" spans="1:16">
      <c r="A105" s="4">
        <v>32266.639999999999</v>
      </c>
      <c r="B105" s="4">
        <v>2414</v>
      </c>
      <c r="C105" s="4">
        <v>0.08</v>
      </c>
      <c r="D105" s="4">
        <v>7</v>
      </c>
      <c r="E105" s="4">
        <v>92.1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 t="s">
        <v>47</v>
      </c>
      <c r="M105">
        <v>625514.04</v>
      </c>
      <c r="N105">
        <v>625514.04</v>
      </c>
      <c r="O105">
        <f t="shared" si="3"/>
        <v>521903.91807003471</v>
      </c>
      <c r="P105">
        <f t="shared" si="2"/>
        <v>103610.12192996533</v>
      </c>
    </row>
    <row r="106" spans="1:16">
      <c r="A106" s="4">
        <v>57919.07</v>
      </c>
      <c r="B106" s="4">
        <v>7374</v>
      </c>
      <c r="C106" s="4">
        <v>0.10299999999999999</v>
      </c>
      <c r="D106" s="4">
        <v>21</v>
      </c>
      <c r="E106" s="4">
        <v>82.3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 t="s">
        <v>48</v>
      </c>
      <c r="M106">
        <v>727227.2</v>
      </c>
      <c r="N106">
        <v>727227.2</v>
      </c>
      <c r="O106">
        <f t="shared" si="3"/>
        <v>710618.26743811578</v>
      </c>
      <c r="P106">
        <f t="shared" si="2"/>
        <v>16608.932561884169</v>
      </c>
    </row>
    <row r="107" spans="1:16">
      <c r="A107" s="4">
        <v>74679.350000000006</v>
      </c>
      <c r="B107" s="4">
        <v>8739</v>
      </c>
      <c r="C107" s="4">
        <v>5.6000000000000001E-2</v>
      </c>
      <c r="D107" s="4">
        <v>21</v>
      </c>
      <c r="E107" s="4">
        <v>91.8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 t="s">
        <v>48</v>
      </c>
      <c r="M107">
        <v>783797.89</v>
      </c>
      <c r="N107">
        <v>783797.89</v>
      </c>
      <c r="O107">
        <f t="shared" si="3"/>
        <v>799604.2801216013</v>
      </c>
      <c r="P107">
        <f t="shared" si="2"/>
        <v>-15806.390121601289</v>
      </c>
    </row>
    <row r="108" spans="1:16">
      <c r="A108" s="4">
        <v>64294.23</v>
      </c>
      <c r="B108" s="4">
        <v>6992</v>
      </c>
      <c r="C108" s="4">
        <v>0.13300000000000001</v>
      </c>
      <c r="D108" s="4">
        <v>14</v>
      </c>
      <c r="E108" s="4">
        <v>94.1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 t="s">
        <v>48</v>
      </c>
      <c r="M108">
        <v>795153.84</v>
      </c>
      <c r="N108">
        <v>795153.84</v>
      </c>
      <c r="O108">
        <f t="shared" si="3"/>
        <v>720570.59132937738</v>
      </c>
      <c r="P108">
        <f t="shared" si="2"/>
        <v>74583.24867062259</v>
      </c>
    </row>
    <row r="109" spans="1:16">
      <c r="A109" s="4">
        <v>31042.03</v>
      </c>
      <c r="B109" s="4">
        <v>7107</v>
      </c>
      <c r="C109" s="4">
        <v>5.0999999999999997E-2</v>
      </c>
      <c r="D109" s="4">
        <v>15</v>
      </c>
      <c r="E109" s="4">
        <v>87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 t="s">
        <v>48</v>
      </c>
      <c r="M109">
        <v>665594.93999999994</v>
      </c>
      <c r="N109">
        <v>665594.93999999994</v>
      </c>
      <c r="O109">
        <f t="shared" si="3"/>
        <v>670890.81733929191</v>
      </c>
      <c r="P109">
        <f t="shared" si="2"/>
        <v>-5295.8773392919684</v>
      </c>
    </row>
    <row r="110" spans="1:16">
      <c r="A110" s="4">
        <v>75265.02</v>
      </c>
      <c r="B110" s="4">
        <v>6975</v>
      </c>
      <c r="C110" s="4">
        <v>0.157</v>
      </c>
      <c r="D110" s="4">
        <v>20</v>
      </c>
      <c r="E110" s="4">
        <v>73.8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 t="s">
        <v>49</v>
      </c>
      <c r="M110">
        <v>709478.39</v>
      </c>
      <c r="N110">
        <v>709478.39</v>
      </c>
      <c r="O110">
        <f t="shared" si="3"/>
        <v>682242.24632242392</v>
      </c>
      <c r="P110">
        <f t="shared" si="2"/>
        <v>27236.143677576096</v>
      </c>
    </row>
    <row r="111" spans="1:16">
      <c r="A111" s="4">
        <v>69411.7</v>
      </c>
      <c r="B111" s="4">
        <v>5493</v>
      </c>
      <c r="C111" s="4">
        <v>0.29199999999999998</v>
      </c>
      <c r="D111" s="4">
        <v>13</v>
      </c>
      <c r="E111" s="4">
        <v>86.5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 t="s">
        <v>49</v>
      </c>
      <c r="M111">
        <v>664162.49</v>
      </c>
      <c r="N111">
        <v>664162.49</v>
      </c>
      <c r="O111">
        <f t="shared" si="3"/>
        <v>644101.50072534662</v>
      </c>
      <c r="P111">
        <f t="shared" si="2"/>
        <v>20060.989274653373</v>
      </c>
    </row>
    <row r="112" spans="1:16">
      <c r="A112" s="4">
        <v>51056.15</v>
      </c>
      <c r="B112" s="4">
        <v>5686</v>
      </c>
      <c r="C112" s="4">
        <v>8.8999999999999996E-2</v>
      </c>
      <c r="D112" s="4">
        <v>13</v>
      </c>
      <c r="E112" s="4">
        <v>89.9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 t="s">
        <v>49</v>
      </c>
      <c r="M112">
        <v>633494.21</v>
      </c>
      <c r="N112">
        <v>633494.21</v>
      </c>
      <c r="O112">
        <f t="shared" si="3"/>
        <v>647885.31659677764</v>
      </c>
      <c r="P112">
        <f t="shared" si="2"/>
        <v>-14391.106596777681</v>
      </c>
    </row>
    <row r="113" spans="1:16">
      <c r="A113" s="4">
        <v>52758.01</v>
      </c>
      <c r="B113" s="4">
        <v>4063</v>
      </c>
      <c r="C113" s="4">
        <v>5.7000000000000002E-2</v>
      </c>
      <c r="D113" s="4">
        <v>12</v>
      </c>
      <c r="E113" s="4">
        <v>91.7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 t="s">
        <v>49</v>
      </c>
      <c r="M113">
        <v>713611.16</v>
      </c>
      <c r="N113">
        <v>713611.16</v>
      </c>
      <c r="O113">
        <f t="shared" si="3"/>
        <v>607255.86361331597</v>
      </c>
      <c r="P113">
        <f t="shared" si="2"/>
        <v>106355.29638668406</v>
      </c>
    </row>
    <row r="114" spans="1:16">
      <c r="A114" s="4">
        <v>61426.04</v>
      </c>
      <c r="B114" s="4">
        <v>8966</v>
      </c>
      <c r="C114" s="4">
        <v>0.17299999999999999</v>
      </c>
      <c r="D114" s="4">
        <v>22</v>
      </c>
      <c r="E114" s="4">
        <v>76.400000000000006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 t="s">
        <v>50</v>
      </c>
      <c r="M114">
        <v>778397.97</v>
      </c>
      <c r="N114">
        <v>778397.97</v>
      </c>
      <c r="O114">
        <f t="shared" si="3"/>
        <v>754421.66003621591</v>
      </c>
      <c r="P114">
        <f t="shared" si="2"/>
        <v>23976.309963784064</v>
      </c>
    </row>
    <row r="115" spans="1:16">
      <c r="A115" s="4">
        <v>80176.34</v>
      </c>
      <c r="B115" s="4">
        <v>9489</v>
      </c>
      <c r="C115" s="4">
        <v>0.14199999999999999</v>
      </c>
      <c r="D115" s="4">
        <v>22</v>
      </c>
      <c r="E115" s="4">
        <v>94.3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 t="s">
        <v>50</v>
      </c>
      <c r="M115">
        <v>873380.02</v>
      </c>
      <c r="N115">
        <v>873380.02</v>
      </c>
      <c r="O115">
        <f t="shared" si="3"/>
        <v>845633.34370470536</v>
      </c>
      <c r="P115">
        <f t="shared" si="2"/>
        <v>27746.676295294659</v>
      </c>
    </row>
    <row r="116" spans="1:16">
      <c r="A116" s="4">
        <v>33605.18</v>
      </c>
      <c r="B116" s="4">
        <v>9225</v>
      </c>
      <c r="C116" s="4">
        <v>0.159</v>
      </c>
      <c r="D116" s="4">
        <v>23</v>
      </c>
      <c r="E116" s="4">
        <v>88.4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 t="s">
        <v>50</v>
      </c>
      <c r="M116">
        <v>697287.9</v>
      </c>
      <c r="N116">
        <v>697287.9</v>
      </c>
      <c r="O116">
        <f t="shared" si="3"/>
        <v>768455.50754827564</v>
      </c>
      <c r="P116">
        <f t="shared" si="2"/>
        <v>-71167.607548275613</v>
      </c>
    </row>
    <row r="117" spans="1:16">
      <c r="A117" s="4">
        <v>25990.54</v>
      </c>
      <c r="B117" s="4">
        <v>9249</v>
      </c>
      <c r="C117" s="4">
        <v>0.13900000000000001</v>
      </c>
      <c r="D117" s="4">
        <v>23</v>
      </c>
      <c r="E117" s="4">
        <v>92.5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 t="s">
        <v>50</v>
      </c>
      <c r="M117">
        <v>718074.79</v>
      </c>
      <c r="N117">
        <v>718074.79</v>
      </c>
      <c r="O117">
        <f t="shared" si="3"/>
        <v>773342.14059331687</v>
      </c>
      <c r="P117">
        <f t="shared" si="2"/>
        <v>-55267.350593316834</v>
      </c>
    </row>
    <row r="118" spans="1:16">
      <c r="A118" s="4">
        <v>43685.14</v>
      </c>
      <c r="B118" s="4">
        <v>7821</v>
      </c>
      <c r="C118" s="4">
        <v>0.19</v>
      </c>
      <c r="D118" s="4">
        <v>17</v>
      </c>
      <c r="E118" s="4">
        <v>91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 t="s">
        <v>51</v>
      </c>
      <c r="M118">
        <v>714942.43</v>
      </c>
      <c r="N118">
        <v>714942.43</v>
      </c>
      <c r="O118">
        <f t="shared" si="3"/>
        <v>699688.33254886768</v>
      </c>
      <c r="P118">
        <f t="shared" si="2"/>
        <v>15254.097451132373</v>
      </c>
    </row>
    <row r="119" spans="1:16">
      <c r="A119" s="4">
        <v>57360.01</v>
      </c>
      <c r="B119" s="4">
        <v>8434</v>
      </c>
      <c r="C119" s="4">
        <v>0.151</v>
      </c>
      <c r="D119" s="4">
        <v>19</v>
      </c>
      <c r="E119" s="4">
        <v>84.1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1</v>
      </c>
      <c r="L119" t="s">
        <v>51</v>
      </c>
      <c r="M119">
        <v>820519.04</v>
      </c>
      <c r="N119">
        <v>820519.04</v>
      </c>
      <c r="O119">
        <f t="shared" si="3"/>
        <v>720348.42746402195</v>
      </c>
      <c r="P119">
        <f t="shared" si="2"/>
        <v>100170.61253597809</v>
      </c>
    </row>
    <row r="120" spans="1:16">
      <c r="A120" s="4">
        <v>42415.47</v>
      </c>
      <c r="B120" s="4">
        <v>8512</v>
      </c>
      <c r="C120" s="4">
        <v>0.13300000000000001</v>
      </c>
      <c r="D120" s="4">
        <v>18</v>
      </c>
      <c r="E120" s="4">
        <v>96.8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1</v>
      </c>
      <c r="L120" t="s">
        <v>51</v>
      </c>
      <c r="M120">
        <v>684217.32</v>
      </c>
      <c r="N120">
        <v>684217.32</v>
      </c>
      <c r="O120">
        <f t="shared" si="3"/>
        <v>740727.09101888293</v>
      </c>
      <c r="P120">
        <f t="shared" si="2"/>
        <v>-56509.771018882981</v>
      </c>
    </row>
    <row r="121" spans="1:16">
      <c r="A121" s="4">
        <v>54968.98</v>
      </c>
      <c r="B121" s="4">
        <v>7816</v>
      </c>
      <c r="C121" s="4">
        <v>0.23200000000000001</v>
      </c>
      <c r="D121" s="4">
        <v>19</v>
      </c>
      <c r="E121" s="4">
        <v>95.7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1</v>
      </c>
      <c r="L121" t="s">
        <v>51</v>
      </c>
      <c r="M121">
        <v>735480.19</v>
      </c>
      <c r="N121">
        <v>735480.19</v>
      </c>
      <c r="O121">
        <f t="shared" si="3"/>
        <v>730301.81123611808</v>
      </c>
      <c r="P121">
        <f t="shared" si="2"/>
        <v>5178.3787638818612</v>
      </c>
    </row>
    <row r="122" spans="1:16">
      <c r="A122" s="4">
        <v>43896.13</v>
      </c>
      <c r="B122" s="4">
        <v>3853</v>
      </c>
      <c r="C122" s="4">
        <v>8.7999999999999995E-2</v>
      </c>
      <c r="D122" s="4">
        <v>13</v>
      </c>
      <c r="E122" s="4">
        <v>83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52</v>
      </c>
      <c r="M122">
        <v>509484.81</v>
      </c>
      <c r="N122">
        <v>509484.81</v>
      </c>
      <c r="O122">
        <f t="shared" si="3"/>
        <v>562378.7567578638</v>
      </c>
      <c r="P122">
        <f t="shared" si="2"/>
        <v>-52893.9467578638</v>
      </c>
    </row>
    <row r="123" spans="1:16">
      <c r="A123" s="4">
        <v>83044.17</v>
      </c>
      <c r="B123" s="4">
        <v>3694</v>
      </c>
      <c r="C123" s="4">
        <v>0</v>
      </c>
      <c r="D123" s="4">
        <v>14</v>
      </c>
      <c r="E123" s="4">
        <v>89.4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52</v>
      </c>
      <c r="M123">
        <v>654317.09</v>
      </c>
      <c r="N123">
        <v>654317.09</v>
      </c>
      <c r="O123">
        <f t="shared" si="3"/>
        <v>629302.48221138574</v>
      </c>
      <c r="P123">
        <f t="shared" si="2"/>
        <v>25014.60778861423</v>
      </c>
    </row>
    <row r="124" spans="1:16">
      <c r="A124" s="4">
        <v>48396.13</v>
      </c>
      <c r="B124" s="4">
        <v>4423</v>
      </c>
      <c r="C124" s="4">
        <v>6.9000000000000006E-2</v>
      </c>
      <c r="D124" s="4">
        <v>15</v>
      </c>
      <c r="E124" s="4">
        <v>85.7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52</v>
      </c>
      <c r="M124">
        <v>557487.26</v>
      </c>
      <c r="N124">
        <v>557487.26</v>
      </c>
      <c r="O124">
        <f t="shared" si="3"/>
        <v>598560.53138946369</v>
      </c>
      <c r="P124">
        <f t="shared" si="2"/>
        <v>-41073.271389463684</v>
      </c>
    </row>
    <row r="125" spans="1:16">
      <c r="A125" s="4">
        <v>19063.48</v>
      </c>
      <c r="B125" s="4">
        <v>1906</v>
      </c>
      <c r="C125" s="4">
        <v>0.216</v>
      </c>
      <c r="D125" s="4">
        <v>10</v>
      </c>
      <c r="E125" s="4">
        <v>97.8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52</v>
      </c>
      <c r="M125">
        <v>441275.42</v>
      </c>
      <c r="N125">
        <v>441275.42</v>
      </c>
      <c r="O125">
        <f t="shared" si="3"/>
        <v>506748.06036782899</v>
      </c>
      <c r="P125">
        <f t="shared" si="2"/>
        <v>-65472.640367829008</v>
      </c>
    </row>
    <row r="126" spans="1:16">
      <c r="A126" s="4">
        <v>61541.21</v>
      </c>
      <c r="B126" s="4">
        <v>10396</v>
      </c>
      <c r="C126" s="4">
        <v>0.123</v>
      </c>
      <c r="D126" s="4">
        <v>25</v>
      </c>
      <c r="E126" s="4">
        <v>88.1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 t="s">
        <v>53</v>
      </c>
      <c r="M126">
        <v>914544.17</v>
      </c>
      <c r="N126">
        <v>914544.17</v>
      </c>
      <c r="O126">
        <f t="shared" si="3"/>
        <v>830130.19754071953</v>
      </c>
      <c r="P126">
        <f t="shared" si="2"/>
        <v>84413.972459280514</v>
      </c>
    </row>
    <row r="127" spans="1:16">
      <c r="A127" s="4">
        <v>44747</v>
      </c>
      <c r="B127" s="4">
        <v>11076</v>
      </c>
      <c r="C127" s="4">
        <v>0.17599999999999999</v>
      </c>
      <c r="D127" s="4">
        <v>27</v>
      </c>
      <c r="E127" s="4">
        <v>98.3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 t="s">
        <v>53</v>
      </c>
      <c r="M127">
        <v>842439.67</v>
      </c>
      <c r="N127">
        <v>842439.67</v>
      </c>
      <c r="O127">
        <f t="shared" si="3"/>
        <v>863460.73728076613</v>
      </c>
      <c r="P127">
        <f t="shared" si="2"/>
        <v>-21021.067280766089</v>
      </c>
    </row>
    <row r="128" spans="1:16">
      <c r="A128" s="4">
        <v>56517.9</v>
      </c>
      <c r="B128" s="4">
        <v>9574</v>
      </c>
      <c r="C128" s="4">
        <v>0.20399999999999999</v>
      </c>
      <c r="D128" s="4">
        <v>20</v>
      </c>
      <c r="E128" s="4">
        <v>88.2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 t="s">
        <v>53</v>
      </c>
      <c r="M128">
        <v>842157.92</v>
      </c>
      <c r="N128">
        <v>842157.92</v>
      </c>
      <c r="O128">
        <f t="shared" si="3"/>
        <v>782903.26625068428</v>
      </c>
      <c r="P128">
        <f t="shared" si="2"/>
        <v>59254.653749315767</v>
      </c>
    </row>
    <row r="129" spans="1:16">
      <c r="A129" s="4">
        <v>37828.5</v>
      </c>
      <c r="B129" s="4">
        <v>8221</v>
      </c>
      <c r="C129" s="4">
        <v>9.6000000000000002E-2</v>
      </c>
      <c r="D129" s="4">
        <v>19</v>
      </c>
      <c r="E129" s="4">
        <v>81.5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 t="s">
        <v>53</v>
      </c>
      <c r="M129">
        <v>697155.3</v>
      </c>
      <c r="N129">
        <v>697155.3</v>
      </c>
      <c r="O129">
        <f t="shared" si="3"/>
        <v>704739.791635353</v>
      </c>
      <c r="P129">
        <f t="shared" si="2"/>
        <v>-7584.4916353529552</v>
      </c>
    </row>
    <row r="130" spans="1:16">
      <c r="A130" s="4">
        <v>66250.53</v>
      </c>
      <c r="B130" s="4">
        <v>10618</v>
      </c>
      <c r="C130" s="4">
        <v>0.14199999999999999</v>
      </c>
      <c r="D130" s="4">
        <v>27</v>
      </c>
      <c r="E130" s="4">
        <v>88.3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54</v>
      </c>
      <c r="M130">
        <v>849018.3</v>
      </c>
      <c r="N130">
        <v>849018.3</v>
      </c>
      <c r="O130">
        <f t="shared" si="3"/>
        <v>827946.49441378494</v>
      </c>
      <c r="P130">
        <f t="shared" ref="P130:P193" si="4">N130-O130</f>
        <v>21071.805586215109</v>
      </c>
    </row>
    <row r="131" spans="1:16">
      <c r="A131" s="4">
        <v>68410.929999999993</v>
      </c>
      <c r="B131" s="4">
        <v>10596</v>
      </c>
      <c r="C131" s="4">
        <v>0.20699999999999999</v>
      </c>
      <c r="D131" s="4">
        <v>25</v>
      </c>
      <c r="E131" s="4">
        <v>81.2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54</v>
      </c>
      <c r="M131">
        <v>801830.35</v>
      </c>
      <c r="N131">
        <v>801830.35</v>
      </c>
      <c r="O131">
        <f t="shared" ref="O131:O194" si="5">114687.202
+(1.164070198*A131)
+(28.70319921*B131)
-(47096.9846*C131)
+(2853.233001*D131)
+(2956.046845*E131)
+(7700.568958*F131)
+(19440.62508*G131)
+(18502.25223*H131)
+(21712.02719*I131)
+(11909.7725*J131)
-(17398.20911*K131)</f>
        <v>800074.17868642416</v>
      </c>
      <c r="P131">
        <f t="shared" si="4"/>
        <v>1756.1713135758182</v>
      </c>
    </row>
    <row r="132" spans="1:16">
      <c r="A132" s="4">
        <v>50735.63</v>
      </c>
      <c r="B132" s="4">
        <v>9619</v>
      </c>
      <c r="C132" s="4">
        <v>0.14399999999999999</v>
      </c>
      <c r="D132" s="4">
        <v>19</v>
      </c>
      <c r="E132" s="4">
        <v>93.8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54</v>
      </c>
      <c r="M132">
        <v>725235.28</v>
      </c>
      <c r="N132">
        <v>725235.28</v>
      </c>
      <c r="O132">
        <f t="shared" si="5"/>
        <v>774549.76535834477</v>
      </c>
      <c r="P132">
        <f t="shared" si="4"/>
        <v>-49314.48535834474</v>
      </c>
    </row>
    <row r="133" spans="1:16">
      <c r="A133" s="4">
        <v>66455.8</v>
      </c>
      <c r="B133" s="4">
        <v>10836</v>
      </c>
      <c r="C133" s="4">
        <v>8.8999999999999996E-2</v>
      </c>
      <c r="D133" s="4">
        <v>25</v>
      </c>
      <c r="E133" s="4">
        <v>85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54</v>
      </c>
      <c r="M133">
        <v>811452.72</v>
      </c>
      <c r="N133">
        <v>811452.72</v>
      </c>
      <c r="O133">
        <f t="shared" si="5"/>
        <v>821477.46012440848</v>
      </c>
      <c r="P133">
        <f t="shared" si="4"/>
        <v>-10024.740124408505</v>
      </c>
    </row>
    <row r="134" spans="1:16">
      <c r="A134" s="4">
        <v>70276.28</v>
      </c>
      <c r="B134" s="4">
        <v>3043</v>
      </c>
      <c r="C134" s="4">
        <v>7.9000000000000001E-2</v>
      </c>
      <c r="D134" s="4">
        <v>9</v>
      </c>
      <c r="E134" s="4">
        <v>87.9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55</v>
      </c>
      <c r="M134">
        <v>527300.13</v>
      </c>
      <c r="N134">
        <v>527300.13</v>
      </c>
      <c r="O134">
        <f t="shared" si="5"/>
        <v>573333.08222943358</v>
      </c>
      <c r="P134">
        <f t="shared" si="4"/>
        <v>-46032.952229433577</v>
      </c>
    </row>
    <row r="135" spans="1:16">
      <c r="A135" s="4">
        <v>22071.64</v>
      </c>
      <c r="B135" s="4">
        <v>1814</v>
      </c>
      <c r="C135" s="4">
        <v>0.19600000000000001</v>
      </c>
      <c r="D135" s="4">
        <v>8</v>
      </c>
      <c r="E135" s="4">
        <v>81.099999999999994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55</v>
      </c>
      <c r="M135">
        <v>400831.65</v>
      </c>
      <c r="N135">
        <v>400831.65</v>
      </c>
      <c r="O135">
        <f t="shared" si="5"/>
        <v>453478.56682582467</v>
      </c>
      <c r="P135">
        <f t="shared" si="4"/>
        <v>-52646.91682582465</v>
      </c>
    </row>
    <row r="136" spans="1:16">
      <c r="A136" s="4">
        <v>52285.45</v>
      </c>
      <c r="B136" s="4">
        <v>3618</v>
      </c>
      <c r="C136" s="4">
        <v>8.5999999999999993E-2</v>
      </c>
      <c r="D136" s="4">
        <v>11</v>
      </c>
      <c r="E136" s="4">
        <v>95.6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55</v>
      </c>
      <c r="M136">
        <v>593247.25</v>
      </c>
      <c r="N136">
        <v>593247.25</v>
      </c>
      <c r="O136">
        <f t="shared" si="5"/>
        <v>597033.18055119913</v>
      </c>
      <c r="P136">
        <f t="shared" si="4"/>
        <v>-3785.9305511991261</v>
      </c>
    </row>
    <row r="137" spans="1:16">
      <c r="A137" s="4">
        <v>70366.759999999995</v>
      </c>
      <c r="B137" s="4">
        <v>1963</v>
      </c>
      <c r="C137" s="4">
        <v>0.182</v>
      </c>
      <c r="D137" s="4">
        <v>8</v>
      </c>
      <c r="E137" s="4">
        <v>89.8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55</v>
      </c>
      <c r="M137">
        <v>529075.94999999995</v>
      </c>
      <c r="N137">
        <v>529075.94999999995</v>
      </c>
      <c r="O137">
        <f t="shared" si="5"/>
        <v>540351.21874484851</v>
      </c>
      <c r="P137">
        <f t="shared" si="4"/>
        <v>-11275.268744848552</v>
      </c>
    </row>
    <row r="138" spans="1:16">
      <c r="A138" s="4">
        <v>71320.66</v>
      </c>
      <c r="B138" s="4">
        <v>7888</v>
      </c>
      <c r="C138" s="4">
        <v>4.8000000000000001E-2</v>
      </c>
      <c r="D138" s="4">
        <v>20</v>
      </c>
      <c r="E138" s="4">
        <v>78.099999999999994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1</v>
      </c>
      <c r="L138" t="s">
        <v>56</v>
      </c>
      <c r="M138">
        <v>633638.03</v>
      </c>
      <c r="N138">
        <v>633638.03</v>
      </c>
      <c r="O138">
        <f t="shared" si="5"/>
        <v>711833.97149987065</v>
      </c>
      <c r="P138">
        <f t="shared" si="4"/>
        <v>-78195.94149987062</v>
      </c>
    </row>
    <row r="139" spans="1:16">
      <c r="A139" s="4">
        <v>75109.67</v>
      </c>
      <c r="B139" s="4">
        <v>6244</v>
      </c>
      <c r="C139" s="4">
        <v>7.9000000000000001E-2</v>
      </c>
      <c r="D139" s="4">
        <v>15</v>
      </c>
      <c r="E139" s="4">
        <v>96.3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1</v>
      </c>
      <c r="L139" t="s">
        <v>56</v>
      </c>
      <c r="M139">
        <v>743348.84</v>
      </c>
      <c r="N139">
        <v>743348.84</v>
      </c>
      <c r="O139">
        <f t="shared" si="5"/>
        <v>707130.4666709546</v>
      </c>
      <c r="P139">
        <f t="shared" si="4"/>
        <v>36218.373329045367</v>
      </c>
    </row>
    <row r="140" spans="1:16">
      <c r="A140" s="4">
        <v>69779</v>
      </c>
      <c r="B140" s="4">
        <v>6544</v>
      </c>
      <c r="C140" s="4">
        <v>0.152</v>
      </c>
      <c r="D140" s="4">
        <v>18</v>
      </c>
      <c r="E140" s="4">
        <v>90.2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1</v>
      </c>
      <c r="L140" t="s">
        <v>56</v>
      </c>
      <c r="M140">
        <v>758827.64</v>
      </c>
      <c r="N140">
        <v>758827.64</v>
      </c>
      <c r="O140">
        <f t="shared" si="5"/>
        <v>696625.88572428189</v>
      </c>
      <c r="P140">
        <f t="shared" si="4"/>
        <v>62201.754275718122</v>
      </c>
    </row>
    <row r="141" spans="1:16">
      <c r="A141" s="4">
        <v>44211.95</v>
      </c>
      <c r="B141" s="4">
        <v>5465</v>
      </c>
      <c r="C141" s="4">
        <v>0.187</v>
      </c>
      <c r="D141" s="4">
        <v>12</v>
      </c>
      <c r="E141" s="4">
        <v>90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1</v>
      </c>
      <c r="L141" t="s">
        <v>56</v>
      </c>
      <c r="M141">
        <v>646559.71</v>
      </c>
      <c r="N141">
        <v>646559.71</v>
      </c>
      <c r="O141">
        <f t="shared" si="5"/>
        <v>616534.29098491604</v>
      </c>
      <c r="P141">
        <f t="shared" si="4"/>
        <v>30025.419015083928</v>
      </c>
    </row>
    <row r="142" spans="1:16">
      <c r="A142" s="4">
        <v>51430.31</v>
      </c>
      <c r="B142" s="4">
        <v>6427</v>
      </c>
      <c r="C142" s="4">
        <v>0.23400000000000001</v>
      </c>
      <c r="D142" s="4">
        <v>14</v>
      </c>
      <c r="E142" s="4">
        <v>88.8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 t="s">
        <v>57</v>
      </c>
      <c r="M142">
        <v>715890.53</v>
      </c>
      <c r="N142">
        <v>715890.53</v>
      </c>
      <c r="O142">
        <f t="shared" si="5"/>
        <v>668954.93415117136</v>
      </c>
      <c r="P142">
        <f t="shared" si="4"/>
        <v>46935.595848828671</v>
      </c>
    </row>
    <row r="143" spans="1:16">
      <c r="A143" s="4">
        <v>45706.49</v>
      </c>
      <c r="B143" s="4">
        <v>6704</v>
      </c>
      <c r="C143" s="4">
        <v>3.7999999999999999E-2</v>
      </c>
      <c r="D143" s="4">
        <v>15</v>
      </c>
      <c r="E143" s="4">
        <v>94.2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 t="s">
        <v>57</v>
      </c>
      <c r="M143">
        <v>715097.57</v>
      </c>
      <c r="N143">
        <v>715097.57</v>
      </c>
      <c r="O143">
        <f t="shared" si="5"/>
        <v>698289.68699722504</v>
      </c>
      <c r="P143">
        <f t="shared" si="4"/>
        <v>16807.883002774906</v>
      </c>
    </row>
    <row r="144" spans="1:16">
      <c r="A144" s="4">
        <v>44034.6</v>
      </c>
      <c r="B144" s="4">
        <v>5645</v>
      </c>
      <c r="C144" s="4">
        <v>6.9000000000000006E-2</v>
      </c>
      <c r="D144" s="4">
        <v>18</v>
      </c>
      <c r="E144" s="4">
        <v>88.5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 t="s">
        <v>57</v>
      </c>
      <c r="M144">
        <v>682639.28</v>
      </c>
      <c r="N144">
        <v>682639.28</v>
      </c>
      <c r="O144">
        <f t="shared" si="5"/>
        <v>656197.02717440075</v>
      </c>
      <c r="P144">
        <f t="shared" si="4"/>
        <v>26442.25282559928</v>
      </c>
    </row>
    <row r="145" spans="1:16">
      <c r="A145" s="4">
        <v>50198.12</v>
      </c>
      <c r="B145" s="4">
        <v>6089</v>
      </c>
      <c r="C145" s="4">
        <v>0.182</v>
      </c>
      <c r="D145" s="4">
        <v>19</v>
      </c>
      <c r="E145" s="4">
        <v>94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 t="s">
        <v>57</v>
      </c>
      <c r="M145">
        <v>695098.51</v>
      </c>
      <c r="N145">
        <v>695098.51</v>
      </c>
      <c r="O145">
        <f t="shared" si="5"/>
        <v>689905.54895911773</v>
      </c>
      <c r="P145">
        <f t="shared" si="4"/>
        <v>5192.9610408822773</v>
      </c>
    </row>
    <row r="146" spans="1:16">
      <c r="A146" s="4">
        <v>70488.2</v>
      </c>
      <c r="B146" s="4">
        <v>4312</v>
      </c>
      <c r="C146" s="4">
        <v>0.16900000000000001</v>
      </c>
      <c r="D146" s="4">
        <v>12</v>
      </c>
      <c r="E146" s="4">
        <v>90.2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 t="s">
        <v>58</v>
      </c>
      <c r="M146">
        <v>577732.56999999995</v>
      </c>
      <c r="N146">
        <v>577732.56999999995</v>
      </c>
      <c r="O146">
        <f t="shared" si="5"/>
        <v>603725.80080578348</v>
      </c>
      <c r="P146">
        <f t="shared" si="4"/>
        <v>-25993.230805783533</v>
      </c>
    </row>
    <row r="147" spans="1:16">
      <c r="A147" s="4">
        <v>50909.27</v>
      </c>
      <c r="B147" s="4">
        <v>3152</v>
      </c>
      <c r="C147" s="4">
        <v>0.06</v>
      </c>
      <c r="D147" s="4">
        <v>13</v>
      </c>
      <c r="E147" s="4">
        <v>93.7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 t="s">
        <v>58</v>
      </c>
      <c r="M147">
        <v>537058.32999999996</v>
      </c>
      <c r="N147">
        <v>537058.32999999996</v>
      </c>
      <c r="O147">
        <f t="shared" si="5"/>
        <v>565971.80908035545</v>
      </c>
      <c r="P147">
        <f t="shared" si="4"/>
        <v>-28913.479080355493</v>
      </c>
    </row>
    <row r="148" spans="1:16">
      <c r="A148" s="4">
        <v>53351.7</v>
      </c>
      <c r="B148" s="4">
        <v>4259</v>
      </c>
      <c r="C148" s="4">
        <v>0.156</v>
      </c>
      <c r="D148" s="4">
        <v>15</v>
      </c>
      <c r="E148" s="4">
        <v>93.7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 t="s">
        <v>58</v>
      </c>
      <c r="M148">
        <v>601568.87</v>
      </c>
      <c r="N148">
        <v>601568.87</v>
      </c>
      <c r="O148">
        <f t="shared" si="5"/>
        <v>601774.56605992664</v>
      </c>
      <c r="P148">
        <f t="shared" si="4"/>
        <v>-205.69605992664583</v>
      </c>
    </row>
    <row r="149" spans="1:16">
      <c r="A149" s="4">
        <v>60322.400000000001</v>
      </c>
      <c r="B149" s="4">
        <v>3350</v>
      </c>
      <c r="C149" s="4">
        <v>0.108</v>
      </c>
      <c r="D149" s="4">
        <v>12</v>
      </c>
      <c r="E149" s="4">
        <v>89.4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 t="s">
        <v>58</v>
      </c>
      <c r="M149">
        <v>570964.84</v>
      </c>
      <c r="N149">
        <v>570964.84</v>
      </c>
      <c r="O149">
        <f t="shared" si="5"/>
        <v>564787.69693153526</v>
      </c>
      <c r="P149">
        <f t="shared" si="4"/>
        <v>6177.1430684647057</v>
      </c>
    </row>
    <row r="150" spans="1:16">
      <c r="A150" s="4">
        <v>51575.68</v>
      </c>
      <c r="B150" s="4">
        <v>5329</v>
      </c>
      <c r="C150" s="4">
        <v>4.7E-2</v>
      </c>
      <c r="D150" s="4">
        <v>17</v>
      </c>
      <c r="E150" s="4">
        <v>88.1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0</v>
      </c>
      <c r="L150" t="s">
        <v>59</v>
      </c>
      <c r="M150">
        <v>614024.91</v>
      </c>
      <c r="N150">
        <v>614024.91</v>
      </c>
      <c r="O150">
        <f t="shared" si="5"/>
        <v>665753.78998497466</v>
      </c>
      <c r="P150">
        <f t="shared" si="4"/>
        <v>-51728.879984974628</v>
      </c>
    </row>
    <row r="151" spans="1:16">
      <c r="A151" s="4">
        <v>43319.94</v>
      </c>
      <c r="B151" s="4">
        <v>6551</v>
      </c>
      <c r="C151" s="4">
        <v>4.3999999999999997E-2</v>
      </c>
      <c r="D151" s="4">
        <v>13</v>
      </c>
      <c r="E151" s="4">
        <v>99</v>
      </c>
      <c r="F151">
        <v>0</v>
      </c>
      <c r="G151">
        <v>1</v>
      </c>
      <c r="H151">
        <v>0</v>
      </c>
      <c r="I151">
        <v>0</v>
      </c>
      <c r="J151">
        <v>1</v>
      </c>
      <c r="K151">
        <v>0</v>
      </c>
      <c r="L151" t="s">
        <v>59</v>
      </c>
      <c r="M151">
        <v>712868.35</v>
      </c>
      <c r="N151">
        <v>712868.35</v>
      </c>
      <c r="O151">
        <f t="shared" si="5"/>
        <v>712168.10808345804</v>
      </c>
      <c r="P151">
        <f t="shared" si="4"/>
        <v>700.24191654194146</v>
      </c>
    </row>
    <row r="152" spans="1:16">
      <c r="A152" s="4">
        <v>47093.55</v>
      </c>
      <c r="B152" s="4">
        <v>5550</v>
      </c>
      <c r="C152" s="4">
        <v>0.1</v>
      </c>
      <c r="D152" s="4">
        <v>12</v>
      </c>
      <c r="E152" s="4">
        <v>95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0</v>
      </c>
      <c r="L152" t="s">
        <v>59</v>
      </c>
      <c r="M152">
        <v>696744.15</v>
      </c>
      <c r="N152">
        <v>696744.15</v>
      </c>
      <c r="O152">
        <f t="shared" si="5"/>
        <v>670514.10109552287</v>
      </c>
      <c r="P152">
        <f t="shared" si="4"/>
        <v>26230.048904477153</v>
      </c>
    </row>
    <row r="153" spans="1:16">
      <c r="A153" s="4">
        <v>71855.09</v>
      </c>
      <c r="B153" s="4">
        <v>5911</v>
      </c>
      <c r="C153" s="4">
        <v>0.19700000000000001</v>
      </c>
      <c r="D153" s="4">
        <v>15</v>
      </c>
      <c r="E153" s="4">
        <v>94.3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0</v>
      </c>
      <c r="L153" t="s">
        <v>59</v>
      </c>
      <c r="M153">
        <v>725847.99</v>
      </c>
      <c r="N153">
        <v>725847.99</v>
      </c>
      <c r="O153">
        <f t="shared" si="5"/>
        <v>711622.18548621784</v>
      </c>
      <c r="P153">
        <f t="shared" si="4"/>
        <v>14225.804513782146</v>
      </c>
    </row>
    <row r="154" spans="1:16">
      <c r="A154" s="4">
        <v>75645.23</v>
      </c>
      <c r="B154" s="4">
        <v>9674</v>
      </c>
      <c r="C154" s="4">
        <v>0.23400000000000001</v>
      </c>
      <c r="D154" s="4">
        <v>21</v>
      </c>
      <c r="E154" s="4">
        <v>87.4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60</v>
      </c>
      <c r="M154">
        <v>785028.25</v>
      </c>
      <c r="N154">
        <v>785028.25</v>
      </c>
      <c r="O154">
        <f t="shared" si="5"/>
        <v>787674.0018989956</v>
      </c>
      <c r="P154">
        <f t="shared" si="4"/>
        <v>-2645.7518989956006</v>
      </c>
    </row>
    <row r="155" spans="1:16">
      <c r="A155" s="4">
        <v>64374.75</v>
      </c>
      <c r="B155" s="4">
        <v>6740</v>
      </c>
      <c r="C155" s="4">
        <v>0.16900000000000001</v>
      </c>
      <c r="D155" s="4">
        <v>18</v>
      </c>
      <c r="E155" s="4">
        <v>87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60</v>
      </c>
      <c r="M155">
        <v>698492.67</v>
      </c>
      <c r="N155">
        <v>698492.67</v>
      </c>
      <c r="O155">
        <f t="shared" si="5"/>
        <v>683658.37178970047</v>
      </c>
      <c r="P155">
        <f t="shared" si="4"/>
        <v>14834.298210299574</v>
      </c>
    </row>
    <row r="156" spans="1:16">
      <c r="A156" s="4">
        <v>61433.84</v>
      </c>
      <c r="B156" s="4">
        <v>7745</v>
      </c>
      <c r="C156" s="4">
        <v>0.18</v>
      </c>
      <c r="D156" s="4">
        <v>16</v>
      </c>
      <c r="E156" s="4">
        <v>90.5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60</v>
      </c>
      <c r="M156">
        <v>685830.24</v>
      </c>
      <c r="N156">
        <v>685830.24</v>
      </c>
      <c r="O156">
        <f t="shared" si="5"/>
        <v>713203.29243465036</v>
      </c>
      <c r="P156">
        <f t="shared" si="4"/>
        <v>-27373.052434650366</v>
      </c>
    </row>
    <row r="157" spans="1:16">
      <c r="A157" s="4">
        <v>42698.14</v>
      </c>
      <c r="B157" s="4">
        <v>7693</v>
      </c>
      <c r="C157" s="4">
        <v>0.187</v>
      </c>
      <c r="D157" s="4">
        <v>19</v>
      </c>
      <c r="E157" s="4">
        <v>90.1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60</v>
      </c>
      <c r="M157">
        <v>702318.94</v>
      </c>
      <c r="N157">
        <v>702318.94</v>
      </c>
      <c r="O157">
        <f t="shared" si="5"/>
        <v>696948.65743986168</v>
      </c>
      <c r="P157">
        <f t="shared" si="4"/>
        <v>5370.2825601382647</v>
      </c>
    </row>
    <row r="158" spans="1:16">
      <c r="A158" s="4">
        <v>86883.31</v>
      </c>
      <c r="B158" s="4">
        <v>6424</v>
      </c>
      <c r="C158" s="4">
        <v>5.7000000000000002E-2</v>
      </c>
      <c r="D158" s="4">
        <v>19</v>
      </c>
      <c r="E158" s="4">
        <v>85.2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 t="s">
        <v>61</v>
      </c>
      <c r="M158">
        <v>700078.32</v>
      </c>
      <c r="N158">
        <v>700078.32</v>
      </c>
      <c r="O158">
        <f t="shared" si="5"/>
        <v>723207.25714843534</v>
      </c>
      <c r="P158">
        <f t="shared" si="4"/>
        <v>-23128.937148435391</v>
      </c>
    </row>
    <row r="159" spans="1:16">
      <c r="A159" s="4">
        <v>41863.08</v>
      </c>
      <c r="B159" s="4">
        <v>5400</v>
      </c>
      <c r="C159" s="4">
        <v>0.114</v>
      </c>
      <c r="D159" s="4">
        <v>11</v>
      </c>
      <c r="E159" s="4">
        <v>91.6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 t="s">
        <v>61</v>
      </c>
      <c r="M159">
        <v>602002.31999999995</v>
      </c>
      <c r="N159">
        <v>602002.31999999995</v>
      </c>
      <c r="O159">
        <f t="shared" si="5"/>
        <v>634816.78078508982</v>
      </c>
      <c r="P159">
        <f t="shared" si="4"/>
        <v>-32814.460785089876</v>
      </c>
    </row>
    <row r="160" spans="1:16">
      <c r="A160" s="4">
        <v>56918.16</v>
      </c>
      <c r="B160" s="4">
        <v>7015</v>
      </c>
      <c r="C160" s="4">
        <v>0.158</v>
      </c>
      <c r="D160" s="4">
        <v>18</v>
      </c>
      <c r="E160" s="4">
        <v>74.2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 t="s">
        <v>61</v>
      </c>
      <c r="M160">
        <v>724216.07</v>
      </c>
      <c r="N160">
        <v>724216.07</v>
      </c>
      <c r="O160">
        <f t="shared" si="5"/>
        <v>665162.76604734571</v>
      </c>
      <c r="P160">
        <f t="shared" si="4"/>
        <v>59053.303952654242</v>
      </c>
    </row>
    <row r="161" spans="1:16">
      <c r="A161" s="4">
        <v>23254.57</v>
      </c>
      <c r="B161" s="4">
        <v>3847</v>
      </c>
      <c r="C161" s="4">
        <v>0.159</v>
      </c>
      <c r="D161" s="4">
        <v>12</v>
      </c>
      <c r="E161" s="4">
        <v>93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 t="s">
        <v>61</v>
      </c>
      <c r="M161">
        <v>620973.03</v>
      </c>
      <c r="N161">
        <v>620973.03</v>
      </c>
      <c r="O161">
        <f t="shared" si="5"/>
        <v>573451.4347687749</v>
      </c>
      <c r="P161">
        <f t="shared" si="4"/>
        <v>47521.595231225132</v>
      </c>
    </row>
    <row r="162" spans="1:16">
      <c r="A162" s="4">
        <v>41443.410000000003</v>
      </c>
      <c r="B162" s="4">
        <v>7455</v>
      </c>
      <c r="C162" s="4">
        <v>0.17499999999999999</v>
      </c>
      <c r="D162" s="4">
        <v>16</v>
      </c>
      <c r="E162" s="4">
        <v>90.1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 t="s">
        <v>62</v>
      </c>
      <c r="M162">
        <v>650480.06000000006</v>
      </c>
      <c r="N162">
        <v>650480.06000000006</v>
      </c>
      <c r="O162">
        <f t="shared" si="5"/>
        <v>700102.79212054517</v>
      </c>
      <c r="P162">
        <f t="shared" si="4"/>
        <v>-49622.732120545115</v>
      </c>
    </row>
    <row r="163" spans="1:16">
      <c r="A163" s="4">
        <v>48438.85</v>
      </c>
      <c r="B163" s="4">
        <v>6992</v>
      </c>
      <c r="C163" s="4">
        <v>3.4000000000000002E-2</v>
      </c>
      <c r="D163" s="4">
        <v>20</v>
      </c>
      <c r="E163" s="4">
        <v>91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 t="s">
        <v>62</v>
      </c>
      <c r="M163">
        <v>778298.88</v>
      </c>
      <c r="N163">
        <v>778298.88</v>
      </c>
      <c r="O163">
        <f t="shared" si="5"/>
        <v>715670.44310531241</v>
      </c>
      <c r="P163">
        <f t="shared" si="4"/>
        <v>62628.436894687591</v>
      </c>
    </row>
    <row r="164" spans="1:16">
      <c r="A164" s="4">
        <v>57143.3</v>
      </c>
      <c r="B164" s="4">
        <v>8038</v>
      </c>
      <c r="C164" s="4">
        <v>0.193</v>
      </c>
      <c r="D164" s="4">
        <v>17</v>
      </c>
      <c r="E164" s="4">
        <v>72.599999999999994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 t="s">
        <v>62</v>
      </c>
      <c r="M164">
        <v>677096.71</v>
      </c>
      <c r="N164">
        <v>677096.71</v>
      </c>
      <c r="O164">
        <f t="shared" si="5"/>
        <v>685387.19881155342</v>
      </c>
      <c r="P164">
        <f t="shared" si="4"/>
        <v>-8290.4888115534559</v>
      </c>
    </row>
    <row r="165" spans="1:16">
      <c r="A165" s="4">
        <v>66870.62</v>
      </c>
      <c r="B165" s="4">
        <v>6055</v>
      </c>
      <c r="C165" s="4">
        <v>7.4999999999999997E-2</v>
      </c>
      <c r="D165" s="4">
        <v>19</v>
      </c>
      <c r="E165" s="4">
        <v>93.8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 t="s">
        <v>62</v>
      </c>
      <c r="M165">
        <v>692008.64</v>
      </c>
      <c r="N165">
        <v>692008.64</v>
      </c>
      <c r="O165">
        <f t="shared" si="5"/>
        <v>713724.14139533264</v>
      </c>
      <c r="P165">
        <f t="shared" si="4"/>
        <v>-21715.501395332627</v>
      </c>
    </row>
    <row r="166" spans="1:16">
      <c r="A166" s="4">
        <v>72150.53</v>
      </c>
      <c r="B166" s="4">
        <v>9323</v>
      </c>
      <c r="C166" s="4">
        <v>0.157</v>
      </c>
      <c r="D166" s="4">
        <v>22</v>
      </c>
      <c r="E166" s="4">
        <v>82.9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 t="s">
        <v>63</v>
      </c>
      <c r="M166">
        <v>825797.91</v>
      </c>
      <c r="N166">
        <v>825797.91</v>
      </c>
      <c r="O166">
        <f t="shared" si="5"/>
        <v>786318.93432603497</v>
      </c>
      <c r="P166">
        <f t="shared" si="4"/>
        <v>39478.975673965062</v>
      </c>
    </row>
    <row r="167" spans="1:16">
      <c r="A167" s="4">
        <v>35303.300000000003</v>
      </c>
      <c r="B167" s="4">
        <v>8789</v>
      </c>
      <c r="C167" s="4">
        <v>0.123</v>
      </c>
      <c r="D167" s="4">
        <v>22</v>
      </c>
      <c r="E167" s="4">
        <v>86.1</v>
      </c>
      <c r="F167">
        <v>1</v>
      </c>
      <c r="G167">
        <v>0</v>
      </c>
      <c r="H167">
        <v>0</v>
      </c>
      <c r="I167">
        <v>0</v>
      </c>
      <c r="J167">
        <v>1</v>
      </c>
      <c r="K167">
        <v>0</v>
      </c>
      <c r="L167" t="s">
        <v>63</v>
      </c>
      <c r="M167">
        <v>706285.52</v>
      </c>
      <c r="N167">
        <v>706285.52</v>
      </c>
      <c r="O167">
        <f t="shared" si="5"/>
        <v>739159.31100644334</v>
      </c>
      <c r="P167">
        <f t="shared" si="4"/>
        <v>-32873.791006443324</v>
      </c>
    </row>
    <row r="168" spans="1:16">
      <c r="A168" s="4">
        <v>30301.86</v>
      </c>
      <c r="B168" s="4">
        <v>6939</v>
      </c>
      <c r="C168" s="4">
        <v>0.09</v>
      </c>
      <c r="D168" s="4">
        <v>16</v>
      </c>
      <c r="E168" s="4">
        <v>90.3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0</v>
      </c>
      <c r="L168" t="s">
        <v>63</v>
      </c>
      <c r="M168">
        <v>665534.69999999995</v>
      </c>
      <c r="N168">
        <v>665534.69999999995</v>
      </c>
      <c r="O168">
        <f t="shared" si="5"/>
        <v>677086.56445165828</v>
      </c>
      <c r="P168">
        <f t="shared" si="4"/>
        <v>-11551.86445165833</v>
      </c>
    </row>
    <row r="169" spans="1:16">
      <c r="A169" s="4">
        <v>78432.14</v>
      </c>
      <c r="B169" s="4">
        <v>9440</v>
      </c>
      <c r="C169" s="4">
        <v>0.126</v>
      </c>
      <c r="D169" s="4">
        <v>23</v>
      </c>
      <c r="E169" s="4">
        <v>89.2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 t="s">
        <v>63</v>
      </c>
      <c r="M169">
        <v>820729.29</v>
      </c>
      <c r="N169">
        <v>820729.29</v>
      </c>
      <c r="O169">
        <f t="shared" si="5"/>
        <v>819925.77827716363</v>
      </c>
      <c r="P169">
        <f t="shared" si="4"/>
        <v>803.51172283641063</v>
      </c>
    </row>
    <row r="170" spans="1:16">
      <c r="A170" s="4">
        <v>62059.18</v>
      </c>
      <c r="B170" s="4">
        <v>9374</v>
      </c>
      <c r="C170" s="4">
        <v>0.13600000000000001</v>
      </c>
      <c r="D170" s="4">
        <v>25</v>
      </c>
      <c r="E170" s="4">
        <v>87.1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 t="s">
        <v>64</v>
      </c>
      <c r="M170">
        <v>739831.73</v>
      </c>
      <c r="N170">
        <v>739831.73</v>
      </c>
      <c r="O170">
        <f t="shared" si="5"/>
        <v>760991.33955375757</v>
      </c>
      <c r="P170">
        <f t="shared" si="4"/>
        <v>-21159.609553757589</v>
      </c>
    </row>
    <row r="171" spans="1:16">
      <c r="A171" s="4">
        <v>32834.480000000003</v>
      </c>
      <c r="B171" s="4">
        <v>7576</v>
      </c>
      <c r="C171" s="4">
        <v>9.9000000000000005E-2</v>
      </c>
      <c r="D171" s="4">
        <v>15</v>
      </c>
      <c r="E171" s="4">
        <v>84.1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 t="s">
        <v>64</v>
      </c>
      <c r="M171">
        <v>593637.14</v>
      </c>
      <c r="N171">
        <v>593637.14</v>
      </c>
      <c r="O171">
        <f t="shared" si="5"/>
        <v>639705.50294388703</v>
      </c>
      <c r="P171">
        <f t="shared" si="4"/>
        <v>-46068.362943887012</v>
      </c>
    </row>
    <row r="172" spans="1:16">
      <c r="A172" s="4">
        <v>50825.08</v>
      </c>
      <c r="B172" s="4">
        <v>8949</v>
      </c>
      <c r="C172" s="4">
        <v>0.157</v>
      </c>
      <c r="D172" s="4">
        <v>21</v>
      </c>
      <c r="E172" s="4">
        <v>84.7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 t="s">
        <v>64</v>
      </c>
      <c r="M172">
        <v>769702.76</v>
      </c>
      <c r="N172">
        <v>769702.76</v>
      </c>
      <c r="O172">
        <f t="shared" si="5"/>
        <v>716218.71776955586</v>
      </c>
      <c r="P172">
        <f t="shared" si="4"/>
        <v>53484.042230444145</v>
      </c>
    </row>
    <row r="173" spans="1:16">
      <c r="A173" s="4">
        <v>36606.51</v>
      </c>
      <c r="B173" s="4">
        <v>7671</v>
      </c>
      <c r="C173" s="4">
        <v>0.11799999999999999</v>
      </c>
      <c r="D173" s="4">
        <v>18</v>
      </c>
      <c r="E173" s="4">
        <v>89.8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 t="s">
        <v>64</v>
      </c>
      <c r="M173">
        <v>679731.57</v>
      </c>
      <c r="N173">
        <v>679731.57</v>
      </c>
      <c r="O173">
        <f t="shared" si="5"/>
        <v>671337.53788989887</v>
      </c>
      <c r="P173">
        <f t="shared" si="4"/>
        <v>8394.0321101010777</v>
      </c>
    </row>
    <row r="174" spans="1:16">
      <c r="A174" s="4">
        <v>65237.79</v>
      </c>
      <c r="B174" s="4">
        <v>8741</v>
      </c>
      <c r="C174" s="4">
        <v>0.157</v>
      </c>
      <c r="D174" s="4">
        <v>20</v>
      </c>
      <c r="E174" s="4">
        <v>94.4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 t="s">
        <v>65</v>
      </c>
      <c r="M174">
        <v>780344.18</v>
      </c>
      <c r="N174">
        <v>780344.18</v>
      </c>
      <c r="O174">
        <f t="shared" si="5"/>
        <v>752846.2799127925</v>
      </c>
      <c r="P174">
        <f t="shared" si="4"/>
        <v>27497.900087207556</v>
      </c>
    </row>
    <row r="175" spans="1:16">
      <c r="A175" s="4">
        <v>43645.98</v>
      </c>
      <c r="B175" s="4">
        <v>9480</v>
      </c>
      <c r="C175" s="4">
        <v>0.109</v>
      </c>
      <c r="D175" s="4">
        <v>22</v>
      </c>
      <c r="E175" s="4">
        <v>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 t="s">
        <v>65</v>
      </c>
      <c r="M175">
        <v>721364.11</v>
      </c>
      <c r="N175">
        <v>721364.11</v>
      </c>
      <c r="O175">
        <f t="shared" si="5"/>
        <v>740928.02988690406</v>
      </c>
      <c r="P175">
        <f t="shared" si="4"/>
        <v>-19563.91988690407</v>
      </c>
    </row>
    <row r="176" spans="1:16">
      <c r="A176" s="4">
        <v>68040.149999999994</v>
      </c>
      <c r="B176" s="4">
        <v>9826</v>
      </c>
      <c r="C176" s="4">
        <v>0.125</v>
      </c>
      <c r="D176" s="4">
        <v>20</v>
      </c>
      <c r="E176" s="4">
        <v>83.9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 t="s">
        <v>65</v>
      </c>
      <c r="M176">
        <v>758138.29</v>
      </c>
      <c r="N176">
        <v>758138.29</v>
      </c>
      <c r="O176">
        <f t="shared" si="5"/>
        <v>757720.00645040965</v>
      </c>
      <c r="P176">
        <f t="shared" si="4"/>
        <v>418.28354959038552</v>
      </c>
    </row>
    <row r="177" spans="1:16">
      <c r="A177" s="4">
        <v>63043.94</v>
      </c>
      <c r="B177" s="4">
        <v>10402</v>
      </c>
      <c r="C177" s="4">
        <v>0.159</v>
      </c>
      <c r="D177" s="4">
        <v>23</v>
      </c>
      <c r="E177" s="4">
        <v>93.9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 t="s">
        <v>65</v>
      </c>
      <c r="M177">
        <v>804264</v>
      </c>
      <c r="N177">
        <v>804264</v>
      </c>
      <c r="O177">
        <f t="shared" si="5"/>
        <v>804955.98000801995</v>
      </c>
      <c r="P177">
        <f t="shared" si="4"/>
        <v>-691.98000801994931</v>
      </c>
    </row>
    <row r="178" spans="1:16">
      <c r="A178" s="4">
        <v>67494.09</v>
      </c>
      <c r="B178" s="4">
        <v>12361</v>
      </c>
      <c r="C178" s="4">
        <v>4.5999999999999999E-2</v>
      </c>
      <c r="D178" s="4">
        <v>24</v>
      </c>
      <c r="E178" s="4">
        <v>76.599999999999994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0</v>
      </c>
      <c r="L178" t="s">
        <v>66</v>
      </c>
      <c r="M178">
        <v>887537.75</v>
      </c>
      <c r="N178">
        <v>887537.75</v>
      </c>
      <c r="O178">
        <f t="shared" si="5"/>
        <v>881013.90462433978</v>
      </c>
      <c r="P178">
        <f t="shared" si="4"/>
        <v>6523.8453756602248</v>
      </c>
    </row>
    <row r="179" spans="1:16">
      <c r="A179" s="4">
        <v>29389.32</v>
      </c>
      <c r="B179" s="4">
        <v>7925</v>
      </c>
      <c r="C179" s="4">
        <v>0.17699999999999999</v>
      </c>
      <c r="D179" s="4">
        <v>21</v>
      </c>
      <c r="E179" s="4">
        <v>90.9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 t="s">
        <v>66</v>
      </c>
      <c r="M179">
        <v>783582</v>
      </c>
      <c r="N179">
        <v>783582</v>
      </c>
      <c r="O179">
        <f t="shared" si="5"/>
        <v>736871.95166803547</v>
      </c>
      <c r="P179">
        <f t="shared" si="4"/>
        <v>46710.048331964528</v>
      </c>
    </row>
    <row r="180" spans="1:16">
      <c r="A180" s="4">
        <v>40535.089999999997</v>
      </c>
      <c r="B180" s="4">
        <v>8870</v>
      </c>
      <c r="C180" s="4">
        <v>4.1000000000000002E-2</v>
      </c>
      <c r="D180" s="4">
        <v>21</v>
      </c>
      <c r="E180" s="4">
        <v>86.6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 t="s">
        <v>66</v>
      </c>
      <c r="M180">
        <v>781955.52</v>
      </c>
      <c r="N180">
        <v>781955.52</v>
      </c>
      <c r="O180">
        <f t="shared" si="5"/>
        <v>770665.12208434788</v>
      </c>
      <c r="P180">
        <f t="shared" si="4"/>
        <v>11290.397915652138</v>
      </c>
    </row>
    <row r="181" spans="1:16">
      <c r="A181" s="4">
        <v>74881.56</v>
      </c>
      <c r="B181" s="4">
        <v>9999</v>
      </c>
      <c r="C181" s="4">
        <v>1.2999999999999999E-2</v>
      </c>
      <c r="D181" s="4">
        <v>20</v>
      </c>
      <c r="E181" s="4">
        <v>89.6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 t="s">
        <v>66</v>
      </c>
      <c r="M181">
        <v>898031.04</v>
      </c>
      <c r="N181">
        <v>898031.04</v>
      </c>
      <c r="O181">
        <f t="shared" si="5"/>
        <v>850386.35922873893</v>
      </c>
      <c r="P181">
        <f t="shared" si="4"/>
        <v>47644.680771261104</v>
      </c>
    </row>
    <row r="182" spans="1:16">
      <c r="A182" s="4">
        <v>68491.11</v>
      </c>
      <c r="B182" s="4">
        <v>11154</v>
      </c>
      <c r="C182" s="4">
        <v>1E-3</v>
      </c>
      <c r="D182" s="4">
        <v>24</v>
      </c>
      <c r="E182" s="4">
        <v>89.4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1</v>
      </c>
      <c r="L182" t="s">
        <v>67</v>
      </c>
      <c r="M182">
        <v>855341.28</v>
      </c>
      <c r="N182">
        <v>855341.28</v>
      </c>
      <c r="O182">
        <f t="shared" si="5"/>
        <v>848376.27206967969</v>
      </c>
      <c r="P182">
        <f t="shared" si="4"/>
        <v>6965.0079303203383</v>
      </c>
    </row>
    <row r="183" spans="1:16">
      <c r="A183" s="4">
        <v>45209.25</v>
      </c>
      <c r="B183" s="4">
        <v>9287</v>
      </c>
      <c r="C183" s="4">
        <v>0.14099999999999999</v>
      </c>
      <c r="D183" s="4">
        <v>22</v>
      </c>
      <c r="E183" s="4">
        <v>86.4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 t="s">
        <v>67</v>
      </c>
      <c r="M183">
        <v>751393.88</v>
      </c>
      <c r="N183">
        <v>751393.88</v>
      </c>
      <c r="O183">
        <f t="shared" si="5"/>
        <v>746517.4953836014</v>
      </c>
      <c r="P183">
        <f t="shared" si="4"/>
        <v>4876.3846163986018</v>
      </c>
    </row>
    <row r="184" spans="1:16">
      <c r="A184" s="4">
        <v>63010.23</v>
      </c>
      <c r="B184" s="4">
        <v>9812</v>
      </c>
      <c r="C184" s="4">
        <v>0.113</v>
      </c>
      <c r="D184" s="4">
        <v>24</v>
      </c>
      <c r="E184" s="4">
        <v>76.8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1</v>
      </c>
      <c r="L184" t="s">
        <v>67</v>
      </c>
      <c r="M184">
        <v>761077.08</v>
      </c>
      <c r="N184">
        <v>761077.08</v>
      </c>
      <c r="O184">
        <f t="shared" si="5"/>
        <v>760955.39714084542</v>
      </c>
      <c r="P184">
        <f t="shared" si="4"/>
        <v>121.68285915453453</v>
      </c>
    </row>
    <row r="185" spans="1:16">
      <c r="A185" s="4">
        <v>57948.88</v>
      </c>
      <c r="B185" s="4">
        <v>10741</v>
      </c>
      <c r="C185" s="4">
        <v>7.0000000000000007E-2</v>
      </c>
      <c r="D185" s="4">
        <v>25</v>
      </c>
      <c r="E185" s="4">
        <v>90.1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1</v>
      </c>
      <c r="L185" t="s">
        <v>67</v>
      </c>
      <c r="M185">
        <v>819660.59</v>
      </c>
      <c r="N185">
        <v>819660.59</v>
      </c>
      <c r="O185">
        <f t="shared" si="5"/>
        <v>825922.72888758813</v>
      </c>
      <c r="P185">
        <f t="shared" si="4"/>
        <v>-6262.1388875881676</v>
      </c>
    </row>
    <row r="186" spans="1:16">
      <c r="A186" s="4">
        <v>71941.62</v>
      </c>
      <c r="B186" s="4">
        <v>6084</v>
      </c>
      <c r="C186" s="4">
        <v>7.1999999999999995E-2</v>
      </c>
      <c r="D186" s="4">
        <v>13</v>
      </c>
      <c r="E186" s="4">
        <v>93.7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68</v>
      </c>
      <c r="M186">
        <v>681855.56</v>
      </c>
      <c r="N186">
        <v>681855.56</v>
      </c>
      <c r="O186">
        <f t="shared" si="5"/>
        <v>691445.76628778083</v>
      </c>
      <c r="P186">
        <f t="shared" si="4"/>
        <v>-9590.2062877807766</v>
      </c>
    </row>
    <row r="187" spans="1:16">
      <c r="A187" s="4">
        <v>57147.88</v>
      </c>
      <c r="B187" s="4">
        <v>5252</v>
      </c>
      <c r="C187" s="4">
        <v>0.161</v>
      </c>
      <c r="D187" s="4">
        <v>15</v>
      </c>
      <c r="E187" s="4">
        <v>95.5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68</v>
      </c>
      <c r="M187">
        <v>678311.17</v>
      </c>
      <c r="N187">
        <v>678311.17</v>
      </c>
      <c r="O187">
        <f t="shared" si="5"/>
        <v>657179.47138770029</v>
      </c>
      <c r="P187">
        <f t="shared" si="4"/>
        <v>21131.698612299748</v>
      </c>
    </row>
    <row r="188" spans="1:16">
      <c r="A188" s="4">
        <v>48031.74</v>
      </c>
      <c r="B188" s="4">
        <v>6516</v>
      </c>
      <c r="C188" s="4">
        <v>6.7000000000000004E-2</v>
      </c>
      <c r="D188" s="4">
        <v>14</v>
      </c>
      <c r="E188" s="4">
        <v>99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68</v>
      </c>
      <c r="M188">
        <v>765906.95</v>
      </c>
      <c r="N188">
        <v>765906.95</v>
      </c>
      <c r="O188">
        <f t="shared" si="5"/>
        <v>694768.53580324445</v>
      </c>
      <c r="P188">
        <f t="shared" si="4"/>
        <v>71138.414196755504</v>
      </c>
    </row>
    <row r="189" spans="1:16">
      <c r="A189" s="4">
        <v>72784.800000000003</v>
      </c>
      <c r="B189" s="4">
        <v>7932</v>
      </c>
      <c r="C189" s="4">
        <v>9.4E-2</v>
      </c>
      <c r="D189" s="4">
        <v>20</v>
      </c>
      <c r="E189" s="4">
        <v>74.900000000000006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68</v>
      </c>
      <c r="M189">
        <v>712546.38</v>
      </c>
      <c r="N189">
        <v>712546.38</v>
      </c>
      <c r="O189">
        <f t="shared" si="5"/>
        <v>708833.61579721048</v>
      </c>
      <c r="P189">
        <f t="shared" si="4"/>
        <v>3712.7642027895199</v>
      </c>
    </row>
    <row r="190" spans="1:16">
      <c r="A190" s="4">
        <v>71641.899999999994</v>
      </c>
      <c r="B190" s="4">
        <v>3506</v>
      </c>
      <c r="C190" s="4">
        <v>0</v>
      </c>
      <c r="D190" s="4">
        <v>11</v>
      </c>
      <c r="E190" s="4">
        <v>86.4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69</v>
      </c>
      <c r="M190">
        <v>625993.82999999996</v>
      </c>
      <c r="N190">
        <v>625993.82999999996</v>
      </c>
      <c r="O190">
        <f t="shared" si="5"/>
        <v>585504.82956735627</v>
      </c>
      <c r="P190">
        <f t="shared" si="4"/>
        <v>40489.00043264369</v>
      </c>
    </row>
    <row r="191" spans="1:16">
      <c r="A191" s="4">
        <v>55788.61</v>
      </c>
      <c r="B191" s="4">
        <v>2312</v>
      </c>
      <c r="C191" s="4">
        <v>5.8000000000000003E-2</v>
      </c>
      <c r="D191" s="4">
        <v>10</v>
      </c>
      <c r="E191" s="4">
        <v>91.3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69</v>
      </c>
      <c r="M191">
        <v>550962.93000000005</v>
      </c>
      <c r="N191">
        <v>550962.93000000005</v>
      </c>
      <c r="O191">
        <f t="shared" si="5"/>
        <v>541678.63871406484</v>
      </c>
      <c r="P191">
        <f t="shared" si="4"/>
        <v>9284.2912859352073</v>
      </c>
    </row>
    <row r="192" spans="1:16">
      <c r="A192" s="4">
        <v>37705.879999999997</v>
      </c>
      <c r="B192" s="4">
        <v>1268</v>
      </c>
      <c r="C192" s="4">
        <v>0.25900000000000001</v>
      </c>
      <c r="D192" s="4">
        <v>9</v>
      </c>
      <c r="E192" s="4">
        <v>84.1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69</v>
      </c>
      <c r="M192">
        <v>443275.59</v>
      </c>
      <c r="N192">
        <v>443275.59</v>
      </c>
      <c r="O192">
        <f t="shared" si="5"/>
        <v>457059.66745774419</v>
      </c>
      <c r="P192">
        <f t="shared" si="4"/>
        <v>-13784.077457744163</v>
      </c>
    </row>
    <row r="193" spans="1:16">
      <c r="A193" s="4">
        <v>54966.18</v>
      </c>
      <c r="B193" s="4">
        <v>4423</v>
      </c>
      <c r="C193" s="4">
        <v>0.186</v>
      </c>
      <c r="D193" s="4">
        <v>13</v>
      </c>
      <c r="E193" s="4">
        <v>88.7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69</v>
      </c>
      <c r="M193">
        <v>554012.06999999995</v>
      </c>
      <c r="N193">
        <v>554012.06999999995</v>
      </c>
      <c r="O193">
        <f t="shared" si="5"/>
        <v>596159.28917063365</v>
      </c>
      <c r="P193">
        <f t="shared" si="4"/>
        <v>-42147.219170633703</v>
      </c>
    </row>
    <row r="194" spans="1:16">
      <c r="A194" s="4">
        <v>81796.740000000005</v>
      </c>
      <c r="B194" s="4">
        <v>6177</v>
      </c>
      <c r="C194" s="4">
        <v>0.16400000000000001</v>
      </c>
      <c r="D194" s="4">
        <v>14</v>
      </c>
      <c r="E194" s="4">
        <v>87.9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 t="s">
        <v>70</v>
      </c>
      <c r="M194">
        <v>643428.85</v>
      </c>
      <c r="N194">
        <v>643428.85</v>
      </c>
      <c r="O194">
        <f t="shared" si="5"/>
        <v>680365.9281828244</v>
      </c>
      <c r="P194">
        <f t="shared" ref="P194:P257" si="6">N194-O194</f>
        <v>-36937.078182824422</v>
      </c>
    </row>
    <row r="195" spans="1:16">
      <c r="A195" s="4">
        <v>51133.43</v>
      </c>
      <c r="B195" s="4">
        <v>5150</v>
      </c>
      <c r="C195" s="4">
        <v>0.15</v>
      </c>
      <c r="D195" s="4">
        <v>12</v>
      </c>
      <c r="E195" s="4">
        <v>88.5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 t="s">
        <v>70</v>
      </c>
      <c r="M195">
        <v>611924.27</v>
      </c>
      <c r="N195">
        <v>611924.27</v>
      </c>
      <c r="O195">
        <f t="shared" ref="O195:O258" si="7">114687.202
+(1.164070198*A195)
+(28.70319921*B195)
-(47096.9846*C195)
+(2853.233001*D195)
+(2956.046845*E195)
+(7700.568958*F195)
+(19440.62508*G195)
+(18502.25223*H195)
+(21712.02719*I195)
+(11909.7725*J195)
-(17398.20911*K195)</f>
        <v>611920.01714051899</v>
      </c>
      <c r="P195">
        <f t="shared" si="6"/>
        <v>4.2528594810282812</v>
      </c>
    </row>
    <row r="196" spans="1:16">
      <c r="A196" s="4">
        <v>40220.18</v>
      </c>
      <c r="B196" s="4">
        <v>3783</v>
      </c>
      <c r="C196" s="4">
        <v>8.8999999999999996E-2</v>
      </c>
      <c r="D196" s="4">
        <v>14</v>
      </c>
      <c r="E196" s="4">
        <v>86.6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1</v>
      </c>
      <c r="L196" t="s">
        <v>70</v>
      </c>
      <c r="M196">
        <v>559422.02</v>
      </c>
      <c r="N196">
        <v>559422.02</v>
      </c>
      <c r="O196">
        <f t="shared" si="7"/>
        <v>562941.84778922552</v>
      </c>
      <c r="P196">
        <f t="shared" si="6"/>
        <v>-3519.8277892254991</v>
      </c>
    </row>
    <row r="197" spans="1:16">
      <c r="A197" s="4">
        <v>41657.64</v>
      </c>
      <c r="B197" s="4">
        <v>3135</v>
      </c>
      <c r="C197" s="4">
        <v>0.22900000000000001</v>
      </c>
      <c r="D197" s="4">
        <v>7</v>
      </c>
      <c r="E197" s="4">
        <v>85.4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 t="s">
        <v>70</v>
      </c>
      <c r="M197">
        <v>449465.06</v>
      </c>
      <c r="N197">
        <v>449465.06</v>
      </c>
      <c r="O197">
        <f t="shared" si="7"/>
        <v>515902.01398296276</v>
      </c>
      <c r="P197">
        <f t="shared" si="6"/>
        <v>-66436.953982962761</v>
      </c>
    </row>
    <row r="198" spans="1:16">
      <c r="A198" s="4">
        <v>71851.45</v>
      </c>
      <c r="B198" s="4">
        <v>4970</v>
      </c>
      <c r="C198" s="4">
        <v>9.8000000000000004E-2</v>
      </c>
      <c r="D198" s="4">
        <v>11</v>
      </c>
      <c r="E198" s="4">
        <v>89.6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1</v>
      </c>
      <c r="L198" t="s">
        <v>71</v>
      </c>
      <c r="M198">
        <v>691447.43</v>
      </c>
      <c r="N198">
        <v>691447.43</v>
      </c>
      <c r="O198">
        <f t="shared" si="7"/>
        <v>622916.44938198698</v>
      </c>
      <c r="P198">
        <f t="shared" si="6"/>
        <v>68530.980618013069</v>
      </c>
    </row>
    <row r="199" spans="1:16">
      <c r="A199" s="4">
        <v>54002.83</v>
      </c>
      <c r="B199" s="4">
        <v>4366</v>
      </c>
      <c r="C199" s="4">
        <v>2.7E-2</v>
      </c>
      <c r="D199" s="4">
        <v>15</v>
      </c>
      <c r="E199" s="4">
        <v>90.6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1</v>
      </c>
      <c r="L199" t="s">
        <v>71</v>
      </c>
      <c r="M199">
        <v>574066.61</v>
      </c>
      <c r="N199">
        <v>574066.61</v>
      </c>
      <c r="O199">
        <f t="shared" si="7"/>
        <v>602515.53519732028</v>
      </c>
      <c r="P199">
        <f t="shared" si="6"/>
        <v>-28448.925197320292</v>
      </c>
    </row>
    <row r="200" spans="1:16">
      <c r="A200" s="4">
        <v>54479.33</v>
      </c>
      <c r="B200" s="4">
        <v>5012</v>
      </c>
      <c r="C200" s="4">
        <v>0.28399999999999997</v>
      </c>
      <c r="D200" s="4">
        <v>13</v>
      </c>
      <c r="E200" s="4">
        <v>86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 t="s">
        <v>71</v>
      </c>
      <c r="M200">
        <v>578949.84</v>
      </c>
      <c r="N200">
        <v>578949.84</v>
      </c>
      <c r="O200">
        <f t="shared" si="7"/>
        <v>590204.27480512741</v>
      </c>
      <c r="P200">
        <f t="shared" si="6"/>
        <v>-11254.434805127443</v>
      </c>
    </row>
    <row r="201" spans="1:16">
      <c r="A201" s="4">
        <v>61391.8</v>
      </c>
      <c r="B201" s="4">
        <v>5575</v>
      </c>
      <c r="C201" s="4">
        <v>0.189</v>
      </c>
      <c r="D201" s="4">
        <v>18</v>
      </c>
      <c r="E201" s="4">
        <v>90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 t="s">
        <v>71</v>
      </c>
      <c r="M201">
        <v>735786.64</v>
      </c>
      <c r="N201">
        <v>735786.64</v>
      </c>
      <c r="O201">
        <f t="shared" si="7"/>
        <v>644975.34220392641</v>
      </c>
      <c r="P201">
        <f t="shared" si="6"/>
        <v>90811.297796073603</v>
      </c>
    </row>
    <row r="202" spans="1:16">
      <c r="A202" s="4">
        <v>22312.93</v>
      </c>
      <c r="B202" s="4">
        <v>5955</v>
      </c>
      <c r="C202" s="4">
        <v>0.123</v>
      </c>
      <c r="D202" s="4">
        <v>13</v>
      </c>
      <c r="E202" s="4">
        <v>84.2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 t="s">
        <v>72</v>
      </c>
      <c r="M202">
        <v>598904.9</v>
      </c>
      <c r="N202">
        <v>598904.9</v>
      </c>
      <c r="O202">
        <f t="shared" si="7"/>
        <v>613498.84158481029</v>
      </c>
      <c r="P202">
        <f t="shared" si="6"/>
        <v>-14593.941584810265</v>
      </c>
    </row>
    <row r="203" spans="1:16">
      <c r="A203" s="4">
        <v>78111.97</v>
      </c>
      <c r="B203" s="4">
        <v>6389</v>
      </c>
      <c r="C203" s="4">
        <v>0.15</v>
      </c>
      <c r="D203" s="4">
        <v>13</v>
      </c>
      <c r="E203" s="4">
        <v>83.9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 t="s">
        <v>72</v>
      </c>
      <c r="M203">
        <v>787715.51</v>
      </c>
      <c r="N203">
        <v>787715.51</v>
      </c>
      <c r="O203">
        <f t="shared" si="7"/>
        <v>688751.59694526019</v>
      </c>
      <c r="P203">
        <f t="shared" si="6"/>
        <v>98963.913054739824</v>
      </c>
    </row>
    <row r="204" spans="1:16">
      <c r="A204" s="4">
        <v>35203.230000000003</v>
      </c>
      <c r="B204" s="4">
        <v>6896</v>
      </c>
      <c r="C204" s="4">
        <v>3.2000000000000001E-2</v>
      </c>
      <c r="D204" s="4">
        <v>14</v>
      </c>
      <c r="E204" s="4">
        <v>80.8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 t="s">
        <v>72</v>
      </c>
      <c r="M204">
        <v>607084.92000000004</v>
      </c>
      <c r="N204">
        <v>607084.92000000004</v>
      </c>
      <c r="O204">
        <f t="shared" si="7"/>
        <v>652602.26544129953</v>
      </c>
      <c r="P204">
        <f t="shared" si="6"/>
        <v>-45517.345441299491</v>
      </c>
    </row>
    <row r="205" spans="1:16">
      <c r="A205" s="4">
        <v>64104.28</v>
      </c>
      <c r="B205" s="4">
        <v>6015</v>
      </c>
      <c r="C205" s="4">
        <v>0.127</v>
      </c>
      <c r="D205" s="4">
        <v>15</v>
      </c>
      <c r="E205" s="4">
        <v>88.7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 t="s">
        <v>72</v>
      </c>
      <c r="M205">
        <v>650795.49</v>
      </c>
      <c r="N205">
        <v>650795.49</v>
      </c>
      <c r="O205">
        <f t="shared" si="7"/>
        <v>682689.38747269742</v>
      </c>
      <c r="P205">
        <f t="shared" si="6"/>
        <v>-31893.897472697427</v>
      </c>
    </row>
    <row r="206" spans="1:16">
      <c r="A206" s="4">
        <v>92090.14</v>
      </c>
      <c r="B206" s="4">
        <v>9476</v>
      </c>
      <c r="C206" s="4">
        <v>7.0000000000000007E-2</v>
      </c>
      <c r="D206" s="4">
        <v>24</v>
      </c>
      <c r="E206" s="4">
        <v>94.3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 t="s">
        <v>73</v>
      </c>
      <c r="M206">
        <v>825060.52</v>
      </c>
      <c r="N206">
        <v>825060.52</v>
      </c>
      <c r="O206">
        <f t="shared" si="7"/>
        <v>849723.89830310759</v>
      </c>
      <c r="P206">
        <f t="shared" si="6"/>
        <v>-24663.378303107573</v>
      </c>
    </row>
    <row r="207" spans="1:16">
      <c r="A207" s="4">
        <v>54300.87</v>
      </c>
      <c r="B207" s="4">
        <v>7875</v>
      </c>
      <c r="C207" s="4">
        <v>0.107</v>
      </c>
      <c r="D207" s="4">
        <v>19</v>
      </c>
      <c r="E207" s="4">
        <v>94.1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 t="s">
        <v>73</v>
      </c>
      <c r="M207">
        <v>795464.47</v>
      </c>
      <c r="N207">
        <v>795464.47</v>
      </c>
      <c r="O207">
        <f t="shared" si="7"/>
        <v>743180.75055252225</v>
      </c>
      <c r="P207">
        <f t="shared" si="6"/>
        <v>52283.719447477721</v>
      </c>
    </row>
    <row r="208" spans="1:16">
      <c r="A208" s="4">
        <v>37983.35</v>
      </c>
      <c r="B208" s="4">
        <v>9283</v>
      </c>
      <c r="C208" s="4">
        <v>0.14899999999999999</v>
      </c>
      <c r="D208" s="4">
        <v>19</v>
      </c>
      <c r="E208" s="4">
        <v>83.2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 t="s">
        <v>73</v>
      </c>
      <c r="M208">
        <v>671868.59</v>
      </c>
      <c r="N208">
        <v>671868.59</v>
      </c>
      <c r="O208">
        <f t="shared" si="7"/>
        <v>730401.1323392333</v>
      </c>
      <c r="P208">
        <f t="shared" si="6"/>
        <v>-58532.542339233332</v>
      </c>
    </row>
    <row r="209" spans="1:16">
      <c r="A209" s="4">
        <v>56413.83</v>
      </c>
      <c r="B209" s="4">
        <v>8303</v>
      </c>
      <c r="C209" s="4">
        <v>0.11600000000000001</v>
      </c>
      <c r="D209" s="4">
        <v>18</v>
      </c>
      <c r="E209" s="4">
        <v>93.6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 t="s">
        <v>73</v>
      </c>
      <c r="M209">
        <v>675917.63</v>
      </c>
      <c r="N209">
        <v>675917.63</v>
      </c>
      <c r="O209">
        <f t="shared" si="7"/>
        <v>753170.2242950683</v>
      </c>
      <c r="P209">
        <f t="shared" si="6"/>
        <v>-77252.594295068295</v>
      </c>
    </row>
    <row r="210" spans="1:16">
      <c r="A210" s="4">
        <v>63457.19</v>
      </c>
      <c r="B210" s="4">
        <v>10125</v>
      </c>
      <c r="C210" s="4">
        <v>9.7000000000000003E-2</v>
      </c>
      <c r="D210" s="4">
        <v>24</v>
      </c>
      <c r="E210" s="4">
        <v>87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74</v>
      </c>
      <c r="M210">
        <v>810446.53</v>
      </c>
      <c r="N210">
        <v>810446.53</v>
      </c>
      <c r="O210">
        <f t="shared" si="7"/>
        <v>800260.97776187351</v>
      </c>
      <c r="P210">
        <f t="shared" si="6"/>
        <v>10185.552238126518</v>
      </c>
    </row>
    <row r="211" spans="1:16">
      <c r="A211" s="4">
        <v>62949.7</v>
      </c>
      <c r="B211" s="4">
        <v>9458</v>
      </c>
      <c r="C211" s="4">
        <v>0.17100000000000001</v>
      </c>
      <c r="D211" s="4">
        <v>19</v>
      </c>
      <c r="E211" s="4">
        <v>84.9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74</v>
      </c>
      <c r="M211">
        <v>691288.19</v>
      </c>
      <c r="N211">
        <v>691288.19</v>
      </c>
      <c r="O211">
        <f t="shared" si="7"/>
        <v>756566.14966412052</v>
      </c>
      <c r="P211">
        <f t="shared" si="6"/>
        <v>-65277.959664120572</v>
      </c>
    </row>
    <row r="212" spans="1:16">
      <c r="A212" s="4">
        <v>107970.19</v>
      </c>
      <c r="B212" s="4">
        <v>12870</v>
      </c>
      <c r="C212" s="4">
        <v>2.9000000000000001E-2</v>
      </c>
      <c r="D212" s="4">
        <v>31</v>
      </c>
      <c r="E212" s="4">
        <v>91.7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74</v>
      </c>
      <c r="M212">
        <v>946833.54</v>
      </c>
      <c r="N212">
        <v>946833.54</v>
      </c>
      <c r="O212">
        <f t="shared" si="7"/>
        <v>967936.1624481976</v>
      </c>
      <c r="P212">
        <f t="shared" si="6"/>
        <v>-21102.622448197566</v>
      </c>
    </row>
    <row r="213" spans="1:16">
      <c r="A213" s="4">
        <v>49405.75</v>
      </c>
      <c r="B213" s="4">
        <v>9752</v>
      </c>
      <c r="C213" s="4">
        <v>9.2999999999999999E-2</v>
      </c>
      <c r="D213" s="4">
        <v>21</v>
      </c>
      <c r="E213" s="4">
        <v>87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74</v>
      </c>
      <c r="M213">
        <v>761963.23</v>
      </c>
      <c r="N213">
        <v>761963.23</v>
      </c>
      <c r="O213">
        <f t="shared" si="7"/>
        <v>764826.51084895851</v>
      </c>
      <c r="P213">
        <f t="shared" si="6"/>
        <v>-2863.2808489585295</v>
      </c>
    </row>
    <row r="214" spans="1:16">
      <c r="A214" s="4">
        <v>50887.46</v>
      </c>
      <c r="B214" s="4">
        <v>9505</v>
      </c>
      <c r="C214" s="4">
        <v>9.0999999999999998E-2</v>
      </c>
      <c r="D214" s="4">
        <v>25</v>
      </c>
      <c r="E214" s="4">
        <v>89.7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1</v>
      </c>
      <c r="L214" t="s">
        <v>75</v>
      </c>
      <c r="M214">
        <v>812152.6</v>
      </c>
      <c r="N214">
        <v>812152.6</v>
      </c>
      <c r="O214">
        <f t="shared" si="7"/>
        <v>780054.13067186705</v>
      </c>
      <c r="P214">
        <f t="shared" si="6"/>
        <v>32098.469328132924</v>
      </c>
    </row>
    <row r="215" spans="1:16">
      <c r="A215" s="4">
        <v>41819.449999999997</v>
      </c>
      <c r="B215" s="4">
        <v>9412</v>
      </c>
      <c r="C215" s="4">
        <v>0.15</v>
      </c>
      <c r="D215" s="4">
        <v>22</v>
      </c>
      <c r="E215" s="4">
        <v>91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1</v>
      </c>
      <c r="L215" t="s">
        <v>75</v>
      </c>
      <c r="M215">
        <v>804975.5</v>
      </c>
      <c r="N215">
        <v>804975.5</v>
      </c>
      <c r="O215">
        <f t="shared" si="7"/>
        <v>759333.37275327102</v>
      </c>
      <c r="P215">
        <f t="shared" si="6"/>
        <v>45642.127246728982</v>
      </c>
    </row>
    <row r="216" spans="1:16">
      <c r="A216" s="4">
        <v>35296.54</v>
      </c>
      <c r="B216" s="4">
        <v>9644</v>
      </c>
      <c r="C216" s="4">
        <v>0</v>
      </c>
      <c r="D216" s="4">
        <v>22</v>
      </c>
      <c r="E216" s="4">
        <v>88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1</v>
      </c>
      <c r="L216" t="s">
        <v>75</v>
      </c>
      <c r="M216">
        <v>752321.72</v>
      </c>
      <c r="N216">
        <v>752321.72</v>
      </c>
      <c r="O216">
        <f t="shared" si="7"/>
        <v>756595.79698975489</v>
      </c>
      <c r="P216">
        <f t="shared" si="6"/>
        <v>-4274.076989754918</v>
      </c>
    </row>
    <row r="217" spans="1:16">
      <c r="A217" s="4">
        <v>47391.09</v>
      </c>
      <c r="B217" s="4">
        <v>11224</v>
      </c>
      <c r="C217" s="4">
        <v>0.14699999999999999</v>
      </c>
      <c r="D217" s="4">
        <v>25</v>
      </c>
      <c r="E217" s="4">
        <v>88.4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1</v>
      </c>
      <c r="L217" t="s">
        <v>75</v>
      </c>
      <c r="M217">
        <v>836908.24</v>
      </c>
      <c r="N217">
        <v>836908.24</v>
      </c>
      <c r="O217">
        <f t="shared" si="7"/>
        <v>818844.61795957573</v>
      </c>
      <c r="P217">
        <f t="shared" si="6"/>
        <v>18063.622040424263</v>
      </c>
    </row>
    <row r="218" spans="1:16">
      <c r="A218" s="4">
        <v>69180.539999999994</v>
      </c>
      <c r="B218" s="4">
        <v>5394</v>
      </c>
      <c r="C218" s="4">
        <v>0.126</v>
      </c>
      <c r="D218" s="4">
        <v>12</v>
      </c>
      <c r="E218" s="4">
        <v>82.9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 t="s">
        <v>76</v>
      </c>
      <c r="M218">
        <v>674289.1</v>
      </c>
      <c r="N218">
        <v>674289.1</v>
      </c>
      <c r="O218">
        <f t="shared" si="7"/>
        <v>652816.71898518701</v>
      </c>
      <c r="P218">
        <f t="shared" si="6"/>
        <v>21472.381014812971</v>
      </c>
    </row>
    <row r="219" spans="1:16">
      <c r="A219" s="4">
        <v>33987.33</v>
      </c>
      <c r="B219" s="4">
        <v>5014</v>
      </c>
      <c r="C219" s="4">
        <v>0.246</v>
      </c>
      <c r="D219" s="4">
        <v>17</v>
      </c>
      <c r="E219" s="4">
        <v>94.3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 t="s">
        <v>76</v>
      </c>
      <c r="M219">
        <v>622892.42000000004</v>
      </c>
      <c r="N219">
        <v>622892.42000000004</v>
      </c>
      <c r="O219">
        <f t="shared" si="7"/>
        <v>643255.59723843145</v>
      </c>
      <c r="P219">
        <f t="shared" si="6"/>
        <v>-20363.17723843141</v>
      </c>
    </row>
    <row r="220" spans="1:16">
      <c r="A220" s="4">
        <v>58785.33</v>
      </c>
      <c r="B220" s="4">
        <v>4467</v>
      </c>
      <c r="C220" s="4">
        <v>0.22900000000000001</v>
      </c>
      <c r="D220" s="4">
        <v>14</v>
      </c>
      <c r="E220" s="4">
        <v>90.7</v>
      </c>
      <c r="F220">
        <v>1</v>
      </c>
      <c r="G220">
        <v>0</v>
      </c>
      <c r="H220">
        <v>0</v>
      </c>
      <c r="I220">
        <v>1</v>
      </c>
      <c r="J220">
        <v>0</v>
      </c>
      <c r="K220">
        <v>0</v>
      </c>
      <c r="L220" t="s">
        <v>76</v>
      </c>
      <c r="M220">
        <v>673348.56</v>
      </c>
      <c r="N220">
        <v>673348.56</v>
      </c>
      <c r="O220">
        <f t="shared" si="7"/>
        <v>638020.74113376532</v>
      </c>
      <c r="P220">
        <f t="shared" si="6"/>
        <v>35327.818866234738</v>
      </c>
    </row>
    <row r="221" spans="1:16">
      <c r="A221" s="4">
        <v>16451.849999999999</v>
      </c>
      <c r="B221" s="4">
        <v>4678</v>
      </c>
      <c r="C221" s="4">
        <v>0.13300000000000001</v>
      </c>
      <c r="D221" s="4">
        <v>11</v>
      </c>
      <c r="E221" s="4">
        <v>95.9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0</v>
      </c>
      <c r="L221" t="s">
        <v>76</v>
      </c>
      <c r="M221">
        <v>606278.30000000005</v>
      </c>
      <c r="N221">
        <v>606278.30000000005</v>
      </c>
      <c r="O221">
        <f t="shared" si="7"/>
        <v>606131.02883404645</v>
      </c>
      <c r="P221">
        <f t="shared" si="6"/>
        <v>147.27116595359985</v>
      </c>
    </row>
    <row r="222" spans="1:16">
      <c r="A222" s="4">
        <v>53367.73</v>
      </c>
      <c r="B222" s="4">
        <v>7291</v>
      </c>
      <c r="C222" s="4">
        <v>0.14599999999999999</v>
      </c>
      <c r="D222" s="4">
        <v>18</v>
      </c>
      <c r="E222" s="4">
        <v>90.6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77</v>
      </c>
      <c r="M222">
        <v>712219.81</v>
      </c>
      <c r="N222">
        <v>712219.81</v>
      </c>
      <c r="O222">
        <f t="shared" si="7"/>
        <v>698385.88989142049</v>
      </c>
      <c r="P222">
        <f t="shared" si="6"/>
        <v>13833.920108579565</v>
      </c>
    </row>
    <row r="223" spans="1:16">
      <c r="A223" s="4">
        <v>27194.639999999999</v>
      </c>
      <c r="B223" s="4">
        <v>7404</v>
      </c>
      <c r="C223" s="4">
        <v>8.7999999999999995E-2</v>
      </c>
      <c r="D223" s="4">
        <v>18</v>
      </c>
      <c r="E223" s="4">
        <v>90.2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77</v>
      </c>
      <c r="M223">
        <v>672670.54</v>
      </c>
      <c r="N223">
        <v>672670.54</v>
      </c>
      <c r="O223">
        <f t="shared" si="7"/>
        <v>672711.24371237867</v>
      </c>
      <c r="P223">
        <f t="shared" si="6"/>
        <v>-40.703712378628552</v>
      </c>
    </row>
    <row r="224" spans="1:16">
      <c r="A224" s="4">
        <v>66962.740000000005</v>
      </c>
      <c r="B224" s="4">
        <v>7880</v>
      </c>
      <c r="C224" s="4">
        <v>0.11600000000000001</v>
      </c>
      <c r="D224" s="4">
        <v>19</v>
      </c>
      <c r="E224" s="4">
        <v>90.4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77</v>
      </c>
      <c r="M224">
        <v>732667.92</v>
      </c>
      <c r="N224">
        <v>732667.92</v>
      </c>
      <c r="O224">
        <f t="shared" si="7"/>
        <v>734792.55337862251</v>
      </c>
      <c r="P224">
        <f t="shared" si="6"/>
        <v>-2124.6333786224714</v>
      </c>
    </row>
    <row r="225" spans="1:16">
      <c r="A225" s="4">
        <v>73540.990000000005</v>
      </c>
      <c r="B225" s="4">
        <v>8773</v>
      </c>
      <c r="C225" s="4">
        <v>3.5000000000000003E-2</v>
      </c>
      <c r="D225" s="4">
        <v>21</v>
      </c>
      <c r="E225" s="4">
        <v>84.4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77</v>
      </c>
      <c r="M225">
        <v>723531.4</v>
      </c>
      <c r="N225">
        <v>723531.4</v>
      </c>
      <c r="O225">
        <f t="shared" si="7"/>
        <v>759867.09573774599</v>
      </c>
      <c r="P225">
        <f t="shared" si="6"/>
        <v>-36335.695737745962</v>
      </c>
    </row>
    <row r="226" spans="1:16">
      <c r="A226" s="4">
        <v>68212.289999999994</v>
      </c>
      <c r="B226" s="4">
        <v>4713</v>
      </c>
      <c r="C226" s="4">
        <v>0.19800000000000001</v>
      </c>
      <c r="D226" s="4">
        <v>15</v>
      </c>
      <c r="E226" s="4">
        <v>82.6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 t="s">
        <v>78</v>
      </c>
      <c r="M226">
        <v>641564.6</v>
      </c>
      <c r="N226">
        <v>641564.6</v>
      </c>
      <c r="O226">
        <f t="shared" si="7"/>
        <v>618921.80776426336</v>
      </c>
      <c r="P226">
        <f t="shared" si="6"/>
        <v>22642.792235736619</v>
      </c>
    </row>
    <row r="227" spans="1:16">
      <c r="A227" s="4">
        <v>57225.98</v>
      </c>
      <c r="B227" s="4">
        <v>2842</v>
      </c>
      <c r="C227" s="4">
        <v>0.112</v>
      </c>
      <c r="D227" s="4">
        <v>10</v>
      </c>
      <c r="E227" s="4">
        <v>79.5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 t="s">
        <v>78</v>
      </c>
      <c r="M227">
        <v>536545.49</v>
      </c>
      <c r="N227">
        <v>536545.49</v>
      </c>
      <c r="O227">
        <f t="shared" si="7"/>
        <v>533049.71643646411</v>
      </c>
      <c r="P227">
        <f t="shared" si="6"/>
        <v>3495.773563535884</v>
      </c>
    </row>
    <row r="228" spans="1:16">
      <c r="A228" s="4">
        <v>42932.02</v>
      </c>
      <c r="B228" s="4">
        <v>3872</v>
      </c>
      <c r="C228" s="4">
        <v>0.17100000000000001</v>
      </c>
      <c r="D228" s="4">
        <v>12</v>
      </c>
      <c r="E228" s="4">
        <v>83.2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 t="s">
        <v>78</v>
      </c>
      <c r="M228">
        <v>527681.56000000006</v>
      </c>
      <c r="N228">
        <v>527681.56000000006</v>
      </c>
      <c r="O228">
        <f t="shared" si="7"/>
        <v>559839.95601245994</v>
      </c>
      <c r="P228">
        <f t="shared" si="6"/>
        <v>-32158.396012459882</v>
      </c>
    </row>
    <row r="229" spans="1:16">
      <c r="A229" s="4">
        <v>39341.449999999997</v>
      </c>
      <c r="B229" s="4">
        <v>1375</v>
      </c>
      <c r="C229" s="4">
        <v>9.2999999999999999E-2</v>
      </c>
      <c r="D229" s="4">
        <v>5</v>
      </c>
      <c r="E229" s="4">
        <v>95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 t="s">
        <v>78</v>
      </c>
      <c r="M229">
        <v>529598.93999999994</v>
      </c>
      <c r="N229">
        <v>529598.93999999994</v>
      </c>
      <c r="O229">
        <f t="shared" si="7"/>
        <v>502570.6786170571</v>
      </c>
      <c r="P229">
        <f t="shared" si="6"/>
        <v>27028.261382942845</v>
      </c>
    </row>
    <row r="230" spans="1:16">
      <c r="A230" s="4">
        <v>37324.230000000003</v>
      </c>
      <c r="B230" s="4">
        <v>5957</v>
      </c>
      <c r="C230" s="4">
        <v>7.0999999999999994E-2</v>
      </c>
      <c r="D230" s="4">
        <v>12</v>
      </c>
      <c r="E230" s="4">
        <v>85.9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79</v>
      </c>
      <c r="M230">
        <v>570963.31000000006</v>
      </c>
      <c r="N230">
        <v>570963.31000000006</v>
      </c>
      <c r="O230">
        <f t="shared" si="7"/>
        <v>613939.51759116759</v>
      </c>
      <c r="P230">
        <f t="shared" si="6"/>
        <v>-42976.207591167535</v>
      </c>
    </row>
    <row r="231" spans="1:16">
      <c r="A231" s="4">
        <v>113736</v>
      </c>
      <c r="B231" s="4">
        <v>8961</v>
      </c>
      <c r="C231" s="4">
        <v>0.20200000000000001</v>
      </c>
      <c r="D231" s="4">
        <v>24</v>
      </c>
      <c r="E231" s="4">
        <v>86.2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79</v>
      </c>
      <c r="M231">
        <v>870937.4</v>
      </c>
      <c r="N231">
        <v>870937.4</v>
      </c>
      <c r="O231">
        <f t="shared" si="7"/>
        <v>818068.49733433791</v>
      </c>
      <c r="P231">
        <f t="shared" si="6"/>
        <v>52868.902665662114</v>
      </c>
    </row>
    <row r="232" spans="1:16">
      <c r="A232" s="4">
        <v>33173.949999999997</v>
      </c>
      <c r="B232" s="4">
        <v>6545</v>
      </c>
      <c r="C232" s="4">
        <v>0.16900000000000001</v>
      </c>
      <c r="D232" s="4">
        <v>15</v>
      </c>
      <c r="E232" s="4">
        <v>84.4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79</v>
      </c>
      <c r="M232">
        <v>596969.27</v>
      </c>
      <c r="N232">
        <v>596969.27</v>
      </c>
      <c r="O232">
        <f t="shared" si="7"/>
        <v>625495.90570999205</v>
      </c>
      <c r="P232">
        <f t="shared" si="6"/>
        <v>-28526.635709992028</v>
      </c>
    </row>
    <row r="233" spans="1:16">
      <c r="A233" s="4">
        <v>25818.080000000002</v>
      </c>
      <c r="B233" s="4">
        <v>5457</v>
      </c>
      <c r="C233" s="4">
        <v>0</v>
      </c>
      <c r="D233" s="4">
        <v>11</v>
      </c>
      <c r="E233" s="4">
        <v>95.4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79</v>
      </c>
      <c r="M233">
        <v>647512.85</v>
      </c>
      <c r="N233">
        <v>647512.85</v>
      </c>
      <c r="O233">
        <f t="shared" si="7"/>
        <v>614767.04961054982</v>
      </c>
      <c r="P233">
        <f t="shared" si="6"/>
        <v>32745.80038945016</v>
      </c>
    </row>
    <row r="234" spans="1:16">
      <c r="A234" s="4">
        <v>47241.919999999998</v>
      </c>
      <c r="B234" s="4">
        <v>4264</v>
      </c>
      <c r="C234" s="4">
        <v>6.9000000000000006E-2</v>
      </c>
      <c r="D234" s="4">
        <v>13</v>
      </c>
      <c r="E234" s="4">
        <v>95.3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1</v>
      </c>
      <c r="L234" t="s">
        <v>80</v>
      </c>
      <c r="M234">
        <v>658072.14</v>
      </c>
      <c r="N234">
        <v>658072.14</v>
      </c>
      <c r="O234">
        <f t="shared" si="7"/>
        <v>608728.19912384008</v>
      </c>
      <c r="P234">
        <f t="shared" si="6"/>
        <v>49343.940876159933</v>
      </c>
    </row>
    <row r="235" spans="1:16">
      <c r="A235" s="4">
        <v>61650.79</v>
      </c>
      <c r="B235" s="4">
        <v>5321</v>
      </c>
      <c r="C235" s="4">
        <v>0.126</v>
      </c>
      <c r="D235" s="4">
        <v>17</v>
      </c>
      <c r="E235" s="4">
        <v>89.2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 t="s">
        <v>80</v>
      </c>
      <c r="M235">
        <v>723305.11</v>
      </c>
      <c r="N235">
        <v>723305.11</v>
      </c>
      <c r="O235">
        <f t="shared" si="7"/>
        <v>646536.93496996642</v>
      </c>
      <c r="P235">
        <f t="shared" si="6"/>
        <v>76768.17503003357</v>
      </c>
    </row>
    <row r="236" spans="1:16">
      <c r="A236" s="4">
        <v>62582.71</v>
      </c>
      <c r="B236" s="4">
        <v>5479</v>
      </c>
      <c r="C236" s="4">
        <v>4.8000000000000001E-2</v>
      </c>
      <c r="D236" s="4">
        <v>16</v>
      </c>
      <c r="E236" s="4">
        <v>81.2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1</v>
      </c>
      <c r="L236" t="s">
        <v>80</v>
      </c>
      <c r="M236">
        <v>640666.53</v>
      </c>
      <c r="N236">
        <v>640666.53</v>
      </c>
      <c r="O236">
        <f t="shared" si="7"/>
        <v>629328.81778186653</v>
      </c>
      <c r="P236">
        <f t="shared" si="6"/>
        <v>11337.7122181335</v>
      </c>
    </row>
    <row r="237" spans="1:16">
      <c r="A237" s="4">
        <v>47944.14</v>
      </c>
      <c r="B237" s="4">
        <v>6169</v>
      </c>
      <c r="C237" s="4">
        <v>0.11899999999999999</v>
      </c>
      <c r="D237" s="4">
        <v>17</v>
      </c>
      <c r="E237" s="4">
        <v>92.2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 t="s">
        <v>80</v>
      </c>
      <c r="M237">
        <v>670629.48</v>
      </c>
      <c r="N237">
        <v>670629.48</v>
      </c>
      <c r="O237">
        <f t="shared" si="7"/>
        <v>664119.56454782968</v>
      </c>
      <c r="P237">
        <f t="shared" si="6"/>
        <v>6509.9154521703022</v>
      </c>
    </row>
    <row r="238" spans="1:16">
      <c r="A238" s="4">
        <v>46495.4</v>
      </c>
      <c r="B238" s="4">
        <v>9908</v>
      </c>
      <c r="C238" s="4">
        <v>0.121</v>
      </c>
      <c r="D238" s="4">
        <v>22</v>
      </c>
      <c r="E238" s="4">
        <v>89.4</v>
      </c>
      <c r="F238">
        <v>0</v>
      </c>
      <c r="G238">
        <v>0</v>
      </c>
      <c r="H238">
        <v>1</v>
      </c>
      <c r="I238">
        <v>0</v>
      </c>
      <c r="J238">
        <v>1</v>
      </c>
      <c r="K238">
        <v>0</v>
      </c>
      <c r="L238" t="s">
        <v>81</v>
      </c>
      <c r="M238">
        <v>721079.35</v>
      </c>
      <c r="N238">
        <v>721079.35</v>
      </c>
      <c r="O238">
        <f t="shared" si="7"/>
        <v>804957.4128151692</v>
      </c>
      <c r="P238">
        <f t="shared" si="6"/>
        <v>-83878.062815169222</v>
      </c>
    </row>
    <row r="239" spans="1:16">
      <c r="A239" s="4">
        <v>72961.95</v>
      </c>
      <c r="B239" s="4">
        <v>9996</v>
      </c>
      <c r="C239" s="4">
        <v>0.106</v>
      </c>
      <c r="D239" s="4">
        <v>22</v>
      </c>
      <c r="E239" s="4">
        <v>89.1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 t="s">
        <v>81</v>
      </c>
      <c r="M239">
        <v>810355.02</v>
      </c>
      <c r="N239">
        <v>810355.02</v>
      </c>
      <c r="O239">
        <f t="shared" si="7"/>
        <v>838111.85716002597</v>
      </c>
      <c r="P239">
        <f t="shared" si="6"/>
        <v>-27756.837160025956</v>
      </c>
    </row>
    <row r="240" spans="1:16">
      <c r="A240" s="4">
        <v>59060.05</v>
      </c>
      <c r="B240" s="4">
        <v>9702</v>
      </c>
      <c r="C240" s="4">
        <v>0.20100000000000001</v>
      </c>
      <c r="D240" s="4">
        <v>23</v>
      </c>
      <c r="E240" s="4">
        <v>80.900000000000006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 t="s">
        <v>81</v>
      </c>
      <c r="M240">
        <v>761919.25</v>
      </c>
      <c r="N240">
        <v>761919.25</v>
      </c>
      <c r="O240">
        <f t="shared" si="7"/>
        <v>787629.76444170985</v>
      </c>
      <c r="P240">
        <f t="shared" si="6"/>
        <v>-25710.514441709849</v>
      </c>
    </row>
    <row r="241" spans="1:16">
      <c r="A241" s="4">
        <v>26248.1</v>
      </c>
      <c r="B241" s="4">
        <v>9314</v>
      </c>
      <c r="C241" s="4">
        <v>0.186</v>
      </c>
      <c r="D241" s="4">
        <v>21</v>
      </c>
      <c r="E241" s="4">
        <v>83.7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0</v>
      </c>
      <c r="L241" t="s">
        <v>81</v>
      </c>
      <c r="M241">
        <v>737070.18</v>
      </c>
      <c r="N241">
        <v>737070.18</v>
      </c>
      <c r="O241">
        <f t="shared" si="7"/>
        <v>741574.4299479638</v>
      </c>
      <c r="P241">
        <f t="shared" si="6"/>
        <v>-4504.2499479637481</v>
      </c>
    </row>
    <row r="242" spans="1:16">
      <c r="A242" s="4">
        <v>69900.12</v>
      </c>
      <c r="B242" s="4">
        <v>8055</v>
      </c>
      <c r="C242" s="4">
        <v>0.28100000000000003</v>
      </c>
      <c r="D242" s="4">
        <v>22</v>
      </c>
      <c r="E242" s="4">
        <v>85.6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0</v>
      </c>
      <c r="L242" t="s">
        <v>82</v>
      </c>
      <c r="M242">
        <v>776992.93</v>
      </c>
      <c r="N242">
        <v>776992.93</v>
      </c>
      <c r="O242">
        <f t="shared" si="7"/>
        <v>770987.25371657382</v>
      </c>
      <c r="P242">
        <f t="shared" si="6"/>
        <v>6005.6762834262336</v>
      </c>
    </row>
    <row r="243" spans="1:16">
      <c r="A243" s="4">
        <v>51781.599999999999</v>
      </c>
      <c r="B243" s="4">
        <v>5648</v>
      </c>
      <c r="C243" s="4">
        <v>5.8999999999999997E-2</v>
      </c>
      <c r="D243" s="4">
        <v>13</v>
      </c>
      <c r="E243" s="4">
        <v>85.5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0</v>
      </c>
      <c r="L243" t="s">
        <v>82</v>
      </c>
      <c r="M243">
        <v>676337.41</v>
      </c>
      <c r="N243">
        <v>676337.41</v>
      </c>
      <c r="O243">
        <f t="shared" si="7"/>
        <v>665288.25294193695</v>
      </c>
      <c r="P243">
        <f t="shared" si="6"/>
        <v>11049.15705806308</v>
      </c>
    </row>
    <row r="244" spans="1:16">
      <c r="A244" s="4">
        <v>70799.64</v>
      </c>
      <c r="B244" s="4">
        <v>10076</v>
      </c>
      <c r="C244" s="4">
        <v>0.152</v>
      </c>
      <c r="D244" s="4">
        <v>24</v>
      </c>
      <c r="E244" s="4">
        <v>84.8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0</v>
      </c>
      <c r="L244" t="s">
        <v>82</v>
      </c>
      <c r="M244">
        <v>828219.67</v>
      </c>
      <c r="N244">
        <v>828219.67</v>
      </c>
      <c r="O244">
        <f t="shared" si="7"/>
        <v>839460.66328388883</v>
      </c>
      <c r="P244">
        <f t="shared" si="6"/>
        <v>-11240.993283888791</v>
      </c>
    </row>
    <row r="245" spans="1:16">
      <c r="A245" s="4">
        <v>53546.34</v>
      </c>
      <c r="B245" s="4">
        <v>8004</v>
      </c>
      <c r="C245" s="4">
        <v>0</v>
      </c>
      <c r="D245" s="4">
        <v>21</v>
      </c>
      <c r="E245" s="4">
        <v>95.2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0</v>
      </c>
      <c r="L245" t="s">
        <v>82</v>
      </c>
      <c r="M245">
        <v>763159.92</v>
      </c>
      <c r="N245">
        <v>763159.92</v>
      </c>
      <c r="O245">
        <f t="shared" si="7"/>
        <v>789245.51201781549</v>
      </c>
      <c r="P245">
        <f t="shared" si="6"/>
        <v>-26085.592017815448</v>
      </c>
    </row>
    <row r="246" spans="1:16">
      <c r="A246" s="4">
        <v>76942.2</v>
      </c>
      <c r="B246" s="4">
        <v>8934</v>
      </c>
      <c r="C246" s="4">
        <v>8.4000000000000005E-2</v>
      </c>
      <c r="D246" s="4">
        <v>20</v>
      </c>
      <c r="E246" s="4">
        <v>91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83</v>
      </c>
      <c r="M246">
        <v>802001.68</v>
      </c>
      <c r="N246">
        <v>802001.68</v>
      </c>
      <c r="O246">
        <f t="shared" si="7"/>
        <v>782796.48193929566</v>
      </c>
      <c r="P246">
        <f t="shared" si="6"/>
        <v>19205.198060704395</v>
      </c>
    </row>
    <row r="247" spans="1:16">
      <c r="A247" s="4">
        <v>48060.78</v>
      </c>
      <c r="B247" s="4">
        <v>8733</v>
      </c>
      <c r="C247" s="4">
        <v>0</v>
      </c>
      <c r="D247" s="4">
        <v>20</v>
      </c>
      <c r="E247" s="4">
        <v>89.9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83</v>
      </c>
      <c r="M247">
        <v>750471.34</v>
      </c>
      <c r="N247">
        <v>750471.34</v>
      </c>
      <c r="O247">
        <f t="shared" si="7"/>
        <v>744111.6337770645</v>
      </c>
      <c r="P247">
        <f t="shared" si="6"/>
        <v>6359.7062229354633</v>
      </c>
    </row>
    <row r="248" spans="1:16">
      <c r="A248" s="4">
        <v>57390.04</v>
      </c>
      <c r="B248" s="4">
        <v>7374</v>
      </c>
      <c r="C248" s="4">
        <v>0.21</v>
      </c>
      <c r="D248" s="4">
        <v>21</v>
      </c>
      <c r="E248" s="4">
        <v>91.8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83</v>
      </c>
      <c r="M248">
        <v>679230.86</v>
      </c>
      <c r="N248">
        <v>679230.86</v>
      </c>
      <c r="O248">
        <f t="shared" si="7"/>
        <v>714543.25482656783</v>
      </c>
      <c r="P248">
        <f t="shared" si="6"/>
        <v>-35312.394826567848</v>
      </c>
    </row>
    <row r="249" spans="1:16">
      <c r="A249" s="4">
        <v>21536.18</v>
      </c>
      <c r="B249" s="4">
        <v>8119</v>
      </c>
      <c r="C249" s="4">
        <v>0.22700000000000001</v>
      </c>
      <c r="D249" s="4">
        <v>20</v>
      </c>
      <c r="E249" s="4">
        <v>90.4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83</v>
      </c>
      <c r="M249">
        <v>679888.74</v>
      </c>
      <c r="N249">
        <v>679888.74</v>
      </c>
      <c r="O249">
        <f t="shared" si="7"/>
        <v>686398.38100655377</v>
      </c>
      <c r="P249">
        <f t="shared" si="6"/>
        <v>-6509.6410065537784</v>
      </c>
    </row>
    <row r="250" spans="1:16">
      <c r="A250" s="4">
        <v>40923.67</v>
      </c>
      <c r="B250" s="4">
        <v>3875</v>
      </c>
      <c r="C250" s="4">
        <v>0.15</v>
      </c>
      <c r="D250" s="4">
        <v>10</v>
      </c>
      <c r="E250" s="4">
        <v>96.1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84</v>
      </c>
      <c r="M250">
        <v>606783.67000000004</v>
      </c>
      <c r="N250">
        <v>606783.67000000004</v>
      </c>
      <c r="O250">
        <f t="shared" si="7"/>
        <v>586794.5766610367</v>
      </c>
      <c r="P250">
        <f t="shared" si="6"/>
        <v>19989.093338963343</v>
      </c>
    </row>
    <row r="251" spans="1:16">
      <c r="A251" s="4">
        <v>72932.55</v>
      </c>
      <c r="B251" s="4">
        <v>5765</v>
      </c>
      <c r="C251" s="4">
        <v>2.5999999999999999E-2</v>
      </c>
      <c r="D251" s="4">
        <v>17</v>
      </c>
      <c r="E251" s="4">
        <v>81.8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84</v>
      </c>
      <c r="M251">
        <v>642751.42000000004</v>
      </c>
      <c r="N251">
        <v>642751.42000000004</v>
      </c>
      <c r="O251">
        <f t="shared" si="7"/>
        <v>661845.39366119495</v>
      </c>
      <c r="P251">
        <f t="shared" si="6"/>
        <v>-19093.973661194905</v>
      </c>
    </row>
    <row r="252" spans="1:16">
      <c r="A252" s="4">
        <v>38361.93</v>
      </c>
      <c r="B252" s="4">
        <v>6322</v>
      </c>
      <c r="C252" s="4">
        <v>0.27300000000000002</v>
      </c>
      <c r="D252" s="4">
        <v>15</v>
      </c>
      <c r="E252" s="4">
        <v>88.4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84</v>
      </c>
      <c r="M252">
        <v>647953.78</v>
      </c>
      <c r="N252">
        <v>647953.78</v>
      </c>
      <c r="O252">
        <f t="shared" si="7"/>
        <v>639760.9351315822</v>
      </c>
      <c r="P252">
        <f t="shared" si="6"/>
        <v>8192.8448684178293</v>
      </c>
    </row>
    <row r="253" spans="1:16">
      <c r="A253" s="4">
        <v>97480.94</v>
      </c>
      <c r="B253" s="4">
        <v>6840</v>
      </c>
      <c r="C253" s="4">
        <v>8.6999999999999994E-2</v>
      </c>
      <c r="D253" s="4">
        <v>14</v>
      </c>
      <c r="E253" s="4">
        <v>79.2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84</v>
      </c>
      <c r="M253">
        <v>729440.45</v>
      </c>
      <c r="N253">
        <v>729440.45</v>
      </c>
      <c r="O253">
        <f t="shared" si="7"/>
        <v>702159.04515922617</v>
      </c>
      <c r="P253">
        <f t="shared" si="6"/>
        <v>27281.404840773786</v>
      </c>
    </row>
    <row r="254" spans="1:16">
      <c r="A254" s="4">
        <v>81801.8</v>
      </c>
      <c r="B254" s="4">
        <v>6782</v>
      </c>
      <c r="C254" s="4">
        <v>0.05</v>
      </c>
      <c r="D254" s="4">
        <v>16</v>
      </c>
      <c r="E254" s="4">
        <v>99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 t="s">
        <v>85</v>
      </c>
      <c r="M254">
        <v>764949</v>
      </c>
      <c r="N254">
        <v>764949</v>
      </c>
      <c r="O254">
        <f t="shared" si="7"/>
        <v>781673.50527597649</v>
      </c>
      <c r="P254">
        <f t="shared" si="6"/>
        <v>-16724.505275976495</v>
      </c>
    </row>
    <row r="255" spans="1:16">
      <c r="A255" s="4">
        <v>63582.11</v>
      </c>
      <c r="B255" s="4">
        <v>6856</v>
      </c>
      <c r="C255" s="4">
        <v>7.3999999999999996E-2</v>
      </c>
      <c r="D255" s="4">
        <v>17</v>
      </c>
      <c r="E255" s="4">
        <v>89.5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 t="s">
        <v>85</v>
      </c>
      <c r="M255">
        <v>799046.94</v>
      </c>
      <c r="N255">
        <v>799046.94</v>
      </c>
      <c r="O255">
        <f t="shared" si="7"/>
        <v>736229.00421481789</v>
      </c>
      <c r="P255">
        <f t="shared" si="6"/>
        <v>62817.935785182053</v>
      </c>
    </row>
    <row r="256" spans="1:16">
      <c r="A256" s="4">
        <v>75412.740000000005</v>
      </c>
      <c r="B256" s="4">
        <v>5641</v>
      </c>
      <c r="C256" s="4">
        <v>5.8999999999999997E-2</v>
      </c>
      <c r="D256" s="4">
        <v>13</v>
      </c>
      <c r="E256" s="4">
        <v>87.9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 t="s">
        <v>85</v>
      </c>
      <c r="M256">
        <v>720079.54</v>
      </c>
      <c r="N256">
        <v>720079.54</v>
      </c>
      <c r="O256">
        <f t="shared" si="7"/>
        <v>699690.14879423263</v>
      </c>
      <c r="P256">
        <f t="shared" si="6"/>
        <v>20389.391205767402</v>
      </c>
    </row>
    <row r="257" spans="1:16">
      <c r="A257" s="4">
        <v>36290.080000000002</v>
      </c>
      <c r="B257" s="4">
        <v>5787</v>
      </c>
      <c r="C257" s="4">
        <v>0</v>
      </c>
      <c r="D257" s="4">
        <v>17</v>
      </c>
      <c r="E257" s="4">
        <v>88.3</v>
      </c>
      <c r="F257">
        <v>0</v>
      </c>
      <c r="G257">
        <v>1</v>
      </c>
      <c r="H257">
        <v>0</v>
      </c>
      <c r="I257">
        <v>1</v>
      </c>
      <c r="J257">
        <v>0</v>
      </c>
      <c r="K257">
        <v>0</v>
      </c>
      <c r="L257" t="s">
        <v>85</v>
      </c>
      <c r="M257">
        <v>612390.14</v>
      </c>
      <c r="N257">
        <v>612390.14</v>
      </c>
      <c r="O257">
        <f t="shared" si="7"/>
        <v>673713.36613980599</v>
      </c>
      <c r="P257">
        <f t="shared" si="6"/>
        <v>-61323.226139805978</v>
      </c>
    </row>
    <row r="258" spans="1:16">
      <c r="A258" s="4">
        <v>65272.58</v>
      </c>
      <c r="B258" s="4">
        <v>8165</v>
      </c>
      <c r="C258" s="4">
        <v>5.0999999999999997E-2</v>
      </c>
      <c r="D258" s="4">
        <v>19</v>
      </c>
      <c r="E258" s="4">
        <v>87.8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0</v>
      </c>
      <c r="L258" t="s">
        <v>86</v>
      </c>
      <c r="M258">
        <v>840108.12</v>
      </c>
      <c r="N258">
        <v>840108.12</v>
      </c>
      <c r="O258">
        <f t="shared" si="7"/>
        <v>767731.48004962073</v>
      </c>
      <c r="P258">
        <f t="shared" ref="P258:P321" si="8">N258-O258</f>
        <v>72376.639950379264</v>
      </c>
    </row>
    <row r="259" spans="1:16">
      <c r="A259" s="4">
        <v>28670.43</v>
      </c>
      <c r="B259" s="4">
        <v>7574</v>
      </c>
      <c r="C259" s="4">
        <v>0.114</v>
      </c>
      <c r="D259" s="4">
        <v>19</v>
      </c>
      <c r="E259" s="4">
        <v>82.7</v>
      </c>
      <c r="F259">
        <v>0</v>
      </c>
      <c r="G259">
        <v>1</v>
      </c>
      <c r="H259">
        <v>0</v>
      </c>
      <c r="I259">
        <v>0</v>
      </c>
      <c r="J259">
        <v>1</v>
      </c>
      <c r="K259">
        <v>0</v>
      </c>
      <c r="L259" t="s">
        <v>86</v>
      </c>
      <c r="M259">
        <v>697888.09</v>
      </c>
      <c r="N259">
        <v>697888.09</v>
      </c>
      <c r="O259">
        <f t="shared" ref="O259:O321" si="9">114687.202
+(1.164070198*A259)
+(28.70319921*B259)
-(47096.9846*C259)
+(2853.233001*D259)
+(2956.046845*E259)
+(7700.568958*F259)
+(19440.62508*G259)
+(18502.25223*H259)
+(21712.02719*I259)
+(11909.7725*J259)
-(17398.20911*K259)</f>
        <v>690117.46837948519</v>
      </c>
      <c r="P259">
        <f t="shared" si="8"/>
        <v>7770.6216205147794</v>
      </c>
    </row>
    <row r="260" spans="1:16">
      <c r="A260" s="4">
        <v>44189.34</v>
      </c>
      <c r="B260" s="4">
        <v>8634</v>
      </c>
      <c r="C260" s="4">
        <v>0.14299999999999999</v>
      </c>
      <c r="D260" s="4">
        <v>19</v>
      </c>
      <c r="E260" s="4">
        <v>87.5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0</v>
      </c>
      <c r="L260" t="s">
        <v>86</v>
      </c>
      <c r="M260">
        <v>746115.59</v>
      </c>
      <c r="N260">
        <v>746115.59</v>
      </c>
      <c r="O260">
        <f t="shared" si="9"/>
        <v>751431.1724811293</v>
      </c>
      <c r="P260">
        <f t="shared" si="8"/>
        <v>-5315.5824811293278</v>
      </c>
    </row>
    <row r="261" spans="1:16">
      <c r="A261" s="4">
        <v>38397.82</v>
      </c>
      <c r="B261" s="4">
        <v>7836</v>
      </c>
      <c r="C261" s="4">
        <v>7.0000000000000001E-3</v>
      </c>
      <c r="D261" s="4">
        <v>21</v>
      </c>
      <c r="E261" s="4">
        <v>92.2</v>
      </c>
      <c r="F261">
        <v>0</v>
      </c>
      <c r="G261">
        <v>1</v>
      </c>
      <c r="H261">
        <v>0</v>
      </c>
      <c r="I261">
        <v>0</v>
      </c>
      <c r="J261">
        <v>1</v>
      </c>
      <c r="K261">
        <v>0</v>
      </c>
      <c r="L261" t="s">
        <v>86</v>
      </c>
      <c r="M261">
        <v>776110.32</v>
      </c>
      <c r="N261">
        <v>776110.32</v>
      </c>
      <c r="O261">
        <f t="shared" si="9"/>
        <v>747789.35975752829</v>
      </c>
      <c r="P261">
        <f t="shared" si="8"/>
        <v>28320.960242471658</v>
      </c>
    </row>
    <row r="262" spans="1:16">
      <c r="A262" s="4">
        <v>14519.37</v>
      </c>
      <c r="B262" s="4">
        <v>3047</v>
      </c>
      <c r="C262" s="4">
        <v>0.13500000000000001</v>
      </c>
      <c r="D262" s="4">
        <v>10</v>
      </c>
      <c r="E262" s="4">
        <v>90.3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 t="s">
        <v>87</v>
      </c>
      <c r="M262">
        <v>528852.62</v>
      </c>
      <c r="N262">
        <v>528852.62</v>
      </c>
      <c r="O262">
        <f t="shared" si="9"/>
        <v>526654.93532610533</v>
      </c>
      <c r="P262">
        <f t="shared" si="8"/>
        <v>2197.6846738946624</v>
      </c>
    </row>
    <row r="263" spans="1:16">
      <c r="A263" s="4">
        <v>43288.2</v>
      </c>
      <c r="B263" s="4">
        <v>4783</v>
      </c>
      <c r="C263" s="4">
        <v>0.16900000000000001</v>
      </c>
      <c r="D263" s="4">
        <v>13</v>
      </c>
      <c r="E263" s="4">
        <v>87.3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 t="s">
        <v>87</v>
      </c>
      <c r="M263">
        <v>605751.32999999996</v>
      </c>
      <c r="N263">
        <v>605751.32999999996</v>
      </c>
      <c r="O263">
        <f t="shared" si="9"/>
        <v>608062.88778059359</v>
      </c>
      <c r="P263">
        <f t="shared" si="8"/>
        <v>-2311.5577805936337</v>
      </c>
    </row>
    <row r="264" spans="1:16">
      <c r="A264" s="4">
        <v>51450.55</v>
      </c>
      <c r="B264" s="4">
        <v>4902</v>
      </c>
      <c r="C264" s="4">
        <v>8.5999999999999993E-2</v>
      </c>
      <c r="D264" s="4">
        <v>11</v>
      </c>
      <c r="E264" s="4">
        <v>83.7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 t="s">
        <v>87</v>
      </c>
      <c r="M264">
        <v>677640.65</v>
      </c>
      <c r="N264">
        <v>677640.65</v>
      </c>
      <c r="O264">
        <f t="shared" si="9"/>
        <v>608540.93194502895</v>
      </c>
      <c r="P264">
        <f t="shared" si="8"/>
        <v>69099.718054971076</v>
      </c>
    </row>
    <row r="265" spans="1:16">
      <c r="A265" s="4">
        <v>58688.26</v>
      </c>
      <c r="B265" s="4">
        <v>4022</v>
      </c>
      <c r="C265" s="4">
        <v>0.217</v>
      </c>
      <c r="D265" s="4">
        <v>12</v>
      </c>
      <c r="E265" s="4">
        <v>93.8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 t="s">
        <v>87</v>
      </c>
      <c r="M265">
        <v>636613.23</v>
      </c>
      <c r="N265">
        <v>636613.23</v>
      </c>
      <c r="O265">
        <f t="shared" si="9"/>
        <v>618246.92030589539</v>
      </c>
      <c r="P265">
        <f t="shared" si="8"/>
        <v>18366.309694104595</v>
      </c>
    </row>
    <row r="266" spans="1:16">
      <c r="A266" s="4">
        <v>58981.91</v>
      </c>
      <c r="B266" s="4">
        <v>7324</v>
      </c>
      <c r="C266" s="4">
        <v>9.4E-2</v>
      </c>
      <c r="D266" s="4">
        <v>15</v>
      </c>
      <c r="E266" s="4">
        <v>95.8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88</v>
      </c>
      <c r="M266">
        <v>708985.19</v>
      </c>
      <c r="N266">
        <v>708985.19</v>
      </c>
      <c r="O266">
        <f t="shared" si="9"/>
        <v>715129.18287975818</v>
      </c>
      <c r="P266">
        <f t="shared" si="8"/>
        <v>-6143.9928797582397</v>
      </c>
    </row>
    <row r="267" spans="1:16">
      <c r="A267" s="4">
        <v>73454.539999999994</v>
      </c>
      <c r="B267" s="4">
        <v>8129</v>
      </c>
      <c r="C267" s="4">
        <v>0.21099999999999999</v>
      </c>
      <c r="D267" s="4">
        <v>20</v>
      </c>
      <c r="E267" s="4">
        <v>85.2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88</v>
      </c>
      <c r="M267">
        <v>767792.94</v>
      </c>
      <c r="N267">
        <v>767792.94</v>
      </c>
      <c r="O267">
        <f t="shared" si="9"/>
        <v>732504.13676328887</v>
      </c>
      <c r="P267">
        <f t="shared" si="8"/>
        <v>35288.803236711072</v>
      </c>
    </row>
    <row r="268" spans="1:16">
      <c r="A268" s="4">
        <v>56602.39</v>
      </c>
      <c r="B268" s="4">
        <v>7969</v>
      </c>
      <c r="C268" s="4">
        <v>0.17</v>
      </c>
      <c r="D268" s="4">
        <v>21</v>
      </c>
      <c r="E268" s="4">
        <v>88.3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88</v>
      </c>
      <c r="M268">
        <v>745580.51</v>
      </c>
      <c r="N268">
        <v>745580.51</v>
      </c>
      <c r="O268">
        <f t="shared" si="9"/>
        <v>722242.49389156327</v>
      </c>
      <c r="P268">
        <f t="shared" si="8"/>
        <v>23338.016108436743</v>
      </c>
    </row>
    <row r="269" spans="1:16">
      <c r="A269" s="4">
        <v>67722.289999999994</v>
      </c>
      <c r="B269" s="4">
        <v>7240</v>
      </c>
      <c r="C269" s="4">
        <v>2.5999999999999999E-2</v>
      </c>
      <c r="D269" s="4">
        <v>15</v>
      </c>
      <c r="E269" s="4">
        <v>92.9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88</v>
      </c>
      <c r="M269">
        <v>762328.31</v>
      </c>
      <c r="N269">
        <v>762328.31</v>
      </c>
      <c r="O269">
        <f t="shared" si="9"/>
        <v>717522.58912561345</v>
      </c>
      <c r="P269">
        <f t="shared" si="8"/>
        <v>44805.720874386607</v>
      </c>
    </row>
    <row r="270" spans="1:16">
      <c r="A270" s="4">
        <v>48752.92</v>
      </c>
      <c r="B270" s="4">
        <v>8052</v>
      </c>
      <c r="C270" s="4">
        <v>0.106</v>
      </c>
      <c r="D270" s="4">
        <v>16</v>
      </c>
      <c r="E270" s="4">
        <v>94.9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 t="s">
        <v>89</v>
      </c>
      <c r="M270">
        <v>660633.99</v>
      </c>
      <c r="N270">
        <v>660633.99</v>
      </c>
      <c r="O270">
        <f t="shared" si="9"/>
        <v>735655.24901529821</v>
      </c>
      <c r="P270">
        <f t="shared" si="8"/>
        <v>-75021.259015298216</v>
      </c>
    </row>
    <row r="271" spans="1:16">
      <c r="A271" s="4">
        <v>23914.97</v>
      </c>
      <c r="B271" s="4">
        <v>8018</v>
      </c>
      <c r="C271" s="4">
        <v>0.13900000000000001</v>
      </c>
      <c r="D271" s="4">
        <v>20</v>
      </c>
      <c r="E271" s="4">
        <v>89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 t="s">
        <v>89</v>
      </c>
      <c r="M271">
        <v>739374.56</v>
      </c>
      <c r="N271">
        <v>739374.56</v>
      </c>
      <c r="O271">
        <f t="shared" si="9"/>
        <v>698184.27799444401</v>
      </c>
      <c r="P271">
        <f t="shared" si="8"/>
        <v>41190.282005556044</v>
      </c>
    </row>
    <row r="272" spans="1:16">
      <c r="A272" s="4">
        <v>61995.3</v>
      </c>
      <c r="B272" s="4">
        <v>10192</v>
      </c>
      <c r="C272" s="4">
        <v>0.19800000000000001</v>
      </c>
      <c r="D272" s="4">
        <v>21</v>
      </c>
      <c r="E272" s="4">
        <v>87.6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 t="s">
        <v>89</v>
      </c>
      <c r="M272">
        <v>799756.46</v>
      </c>
      <c r="N272">
        <v>799756.46</v>
      </c>
      <c r="O272">
        <f t="shared" si="9"/>
        <v>800849.25568658928</v>
      </c>
      <c r="P272">
        <f t="shared" si="8"/>
        <v>-1092.7956865893211</v>
      </c>
    </row>
    <row r="273" spans="1:16">
      <c r="A273" s="4">
        <v>29344.93</v>
      </c>
      <c r="B273" s="4">
        <v>7446</v>
      </c>
      <c r="C273" s="4">
        <v>0.111</v>
      </c>
      <c r="D273" s="4">
        <v>15</v>
      </c>
      <c r="E273" s="4">
        <v>86.2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 t="s">
        <v>89</v>
      </c>
      <c r="M273">
        <v>593343</v>
      </c>
      <c r="N273">
        <v>593343</v>
      </c>
      <c r="O273">
        <f t="shared" si="9"/>
        <v>666862.52205645607</v>
      </c>
      <c r="P273">
        <f t="shared" si="8"/>
        <v>-73519.522056456073</v>
      </c>
    </row>
    <row r="274" spans="1:16">
      <c r="A274" s="4">
        <v>50532.17</v>
      </c>
      <c r="B274" s="4">
        <v>5689</v>
      </c>
      <c r="C274" s="4">
        <v>5.1999999999999998E-2</v>
      </c>
      <c r="D274" s="4">
        <v>17</v>
      </c>
      <c r="E274" s="4">
        <v>85.6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 t="s">
        <v>90</v>
      </c>
      <c r="M274">
        <v>645039.97</v>
      </c>
      <c r="N274">
        <v>645039.97</v>
      </c>
      <c r="O274">
        <f t="shared" si="9"/>
        <v>654398.47542275966</v>
      </c>
      <c r="P274">
        <f t="shared" si="8"/>
        <v>-9358.5054227596847</v>
      </c>
    </row>
    <row r="275" spans="1:16">
      <c r="A275" s="4">
        <v>17562.57</v>
      </c>
      <c r="B275" s="4">
        <v>3326</v>
      </c>
      <c r="C275" s="4">
        <v>0.153</v>
      </c>
      <c r="D275" s="4">
        <v>14</v>
      </c>
      <c r="E275" s="4">
        <v>88.1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 t="s">
        <v>90</v>
      </c>
      <c r="M275">
        <v>561597.32999999996</v>
      </c>
      <c r="N275">
        <v>561597.32999999996</v>
      </c>
      <c r="O275">
        <f t="shared" si="9"/>
        <v>542267.50955444877</v>
      </c>
      <c r="P275">
        <f t="shared" si="8"/>
        <v>19329.820445551188</v>
      </c>
    </row>
    <row r="276" spans="1:16">
      <c r="A276" s="4">
        <v>47648.71</v>
      </c>
      <c r="B276" s="4">
        <v>5767</v>
      </c>
      <c r="C276" s="4">
        <v>0.14099999999999999</v>
      </c>
      <c r="D276" s="4">
        <v>17</v>
      </c>
      <c r="E276" s="4">
        <v>89.8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 t="s">
        <v>90</v>
      </c>
      <c r="M276">
        <v>635837.74</v>
      </c>
      <c r="N276">
        <v>635837.74</v>
      </c>
      <c r="O276">
        <f t="shared" si="9"/>
        <v>661504.54022761458</v>
      </c>
      <c r="P276">
        <f t="shared" si="8"/>
        <v>-25666.800227614585</v>
      </c>
    </row>
    <row r="277" spans="1:16">
      <c r="A277" s="4">
        <v>38297.58</v>
      </c>
      <c r="B277" s="4">
        <v>5893</v>
      </c>
      <c r="C277" s="4">
        <v>0.247</v>
      </c>
      <c r="D277" s="4">
        <v>18</v>
      </c>
      <c r="E277" s="4">
        <v>77.599999999999994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 t="s">
        <v>90</v>
      </c>
      <c r="M277">
        <v>686737.87</v>
      </c>
      <c r="N277">
        <v>686737.87</v>
      </c>
      <c r="O277">
        <f t="shared" si="9"/>
        <v>616032.95270185079</v>
      </c>
      <c r="P277">
        <f t="shared" si="8"/>
        <v>70704.917298149201</v>
      </c>
    </row>
    <row r="278" spans="1:16">
      <c r="A278" s="4">
        <v>61784.11</v>
      </c>
      <c r="B278" s="4">
        <v>8564</v>
      </c>
      <c r="C278" s="4">
        <v>0.13</v>
      </c>
      <c r="D278" s="4">
        <v>17</v>
      </c>
      <c r="E278" s="4">
        <v>87.4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 t="s">
        <v>91</v>
      </c>
      <c r="M278">
        <v>673076.34</v>
      </c>
      <c r="N278">
        <v>673076.34</v>
      </c>
      <c r="O278">
        <f t="shared" si="9"/>
        <v>735205.70443739381</v>
      </c>
      <c r="P278">
        <f t="shared" si="8"/>
        <v>-62129.364437393844</v>
      </c>
    </row>
    <row r="279" spans="1:16">
      <c r="A279" s="4">
        <v>36832.33</v>
      </c>
      <c r="B279" s="4">
        <v>8001</v>
      </c>
      <c r="C279" s="4">
        <v>0</v>
      </c>
      <c r="D279" s="4">
        <v>19</v>
      </c>
      <c r="E279" s="4">
        <v>88.7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</v>
      </c>
      <c r="L279" t="s">
        <v>91</v>
      </c>
      <c r="M279">
        <v>738548.42</v>
      </c>
      <c r="N279">
        <v>738548.42</v>
      </c>
      <c r="O279">
        <f t="shared" si="9"/>
        <v>705672.11469561129</v>
      </c>
      <c r="P279">
        <f t="shared" si="8"/>
        <v>32876.305304388748</v>
      </c>
    </row>
    <row r="280" spans="1:16">
      <c r="A280" s="4">
        <v>48609.41</v>
      </c>
      <c r="B280" s="4">
        <v>9324</v>
      </c>
      <c r="C280" s="4">
        <v>0.21299999999999999</v>
      </c>
      <c r="D280" s="4">
        <v>18</v>
      </c>
      <c r="E280" s="4">
        <v>86.5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1</v>
      </c>
      <c r="L280" t="s">
        <v>91</v>
      </c>
      <c r="M280">
        <v>756619.77</v>
      </c>
      <c r="N280">
        <v>756619.77</v>
      </c>
      <c r="O280">
        <f t="shared" si="9"/>
        <v>737967.60131810303</v>
      </c>
      <c r="P280">
        <f t="shared" si="8"/>
        <v>18652.16868189699</v>
      </c>
    </row>
    <row r="281" spans="1:16">
      <c r="A281" s="4">
        <v>70284.06</v>
      </c>
      <c r="B281" s="4">
        <v>9109</v>
      </c>
      <c r="C281" s="4">
        <v>4.0000000000000001E-3</v>
      </c>
      <c r="D281" s="4">
        <v>23</v>
      </c>
      <c r="E281" s="4">
        <v>87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1</v>
      </c>
      <c r="L281" t="s">
        <v>91</v>
      </c>
      <c r="M281">
        <v>761122.42</v>
      </c>
      <c r="N281">
        <v>761122.42</v>
      </c>
      <c r="O281">
        <f t="shared" si="9"/>
        <v>782614.68581393384</v>
      </c>
      <c r="P281">
        <f t="shared" si="8"/>
        <v>-21492.265813933802</v>
      </c>
    </row>
    <row r="282" spans="1:16">
      <c r="A282" s="4">
        <v>45940.39</v>
      </c>
      <c r="B282" s="4">
        <v>4022</v>
      </c>
      <c r="C282" s="4">
        <v>6.9000000000000006E-2</v>
      </c>
      <c r="D282" s="4">
        <v>10</v>
      </c>
      <c r="E282" s="4">
        <v>83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 t="s">
        <v>92</v>
      </c>
      <c r="M282">
        <v>524899.56999999995</v>
      </c>
      <c r="N282">
        <v>524899.56999999995</v>
      </c>
      <c r="O282">
        <f t="shared" si="9"/>
        <v>573684.45939371723</v>
      </c>
      <c r="P282">
        <f t="shared" si="8"/>
        <v>-48784.889393717283</v>
      </c>
    </row>
    <row r="283" spans="1:16">
      <c r="A283" s="4">
        <v>34771.26</v>
      </c>
      <c r="B283" s="4">
        <v>4355</v>
      </c>
      <c r="C283" s="4">
        <v>5.0999999999999997E-2</v>
      </c>
      <c r="D283" s="4">
        <v>15</v>
      </c>
      <c r="E283" s="4">
        <v>87.9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 t="s">
        <v>92</v>
      </c>
      <c r="M283">
        <v>555557.77</v>
      </c>
      <c r="N283">
        <v>555557.77</v>
      </c>
      <c r="O283">
        <f t="shared" si="9"/>
        <v>599839.51362835953</v>
      </c>
      <c r="P283">
        <f t="shared" si="8"/>
        <v>-44281.743628359516</v>
      </c>
    </row>
    <row r="284" spans="1:16">
      <c r="A284" s="4">
        <v>66104.19</v>
      </c>
      <c r="B284" s="4">
        <v>5745</v>
      </c>
      <c r="C284" s="4">
        <v>7.0000000000000007E-2</v>
      </c>
      <c r="D284" s="4">
        <v>17</v>
      </c>
      <c r="E284" s="4">
        <v>95.8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 t="s">
        <v>92</v>
      </c>
      <c r="M284">
        <v>714083.68</v>
      </c>
      <c r="N284">
        <v>714083.68</v>
      </c>
      <c r="O284">
        <f t="shared" si="9"/>
        <v>704375.08392937959</v>
      </c>
      <c r="P284">
        <f t="shared" si="8"/>
        <v>9708.5960706204642</v>
      </c>
    </row>
    <row r="285" spans="1:16">
      <c r="A285" s="4">
        <v>18599.21</v>
      </c>
      <c r="B285" s="4">
        <v>3027</v>
      </c>
      <c r="C285" s="4">
        <v>0.122</v>
      </c>
      <c r="D285" s="4">
        <v>11</v>
      </c>
      <c r="E285" s="4">
        <v>80.900000000000006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 t="s">
        <v>92</v>
      </c>
      <c r="M285">
        <v>497439.82</v>
      </c>
      <c r="N285">
        <v>497439.82</v>
      </c>
      <c r="O285">
        <f t="shared" si="9"/>
        <v>507447.11780631362</v>
      </c>
      <c r="P285">
        <f t="shared" si="8"/>
        <v>-10007.297806313611</v>
      </c>
    </row>
    <row r="286" spans="1:16">
      <c r="A286" s="4">
        <v>60183.06</v>
      </c>
      <c r="B286" s="4">
        <v>5562</v>
      </c>
      <c r="C286" s="4">
        <v>8.9999999999999993E-3</v>
      </c>
      <c r="D286" s="4">
        <v>13</v>
      </c>
      <c r="E286" s="4">
        <v>86.3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1</v>
      </c>
      <c r="L286" t="s">
        <v>93</v>
      </c>
      <c r="M286">
        <v>636775.66</v>
      </c>
      <c r="N286">
        <v>636775.66</v>
      </c>
      <c r="O286">
        <f t="shared" si="9"/>
        <v>637270.74457156577</v>
      </c>
      <c r="P286">
        <f t="shared" si="8"/>
        <v>-495.08457156573422</v>
      </c>
    </row>
    <row r="287" spans="1:16">
      <c r="A287" s="4">
        <v>74539.14</v>
      </c>
      <c r="B287" s="4">
        <v>4487</v>
      </c>
      <c r="C287" s="4">
        <v>0.14000000000000001</v>
      </c>
      <c r="D287" s="4">
        <v>10</v>
      </c>
      <c r="E287" s="4">
        <v>90.4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 t="s">
        <v>93</v>
      </c>
      <c r="M287">
        <v>633009.53</v>
      </c>
      <c r="N287">
        <v>633009.53</v>
      </c>
      <c r="O287">
        <f t="shared" si="9"/>
        <v>620516.67838781967</v>
      </c>
      <c r="P287">
        <f t="shared" si="8"/>
        <v>12492.851612180355</v>
      </c>
    </row>
    <row r="288" spans="1:16">
      <c r="A288" s="4">
        <v>55371.97</v>
      </c>
      <c r="B288" s="4">
        <v>4162</v>
      </c>
      <c r="C288" s="4">
        <v>0.183</v>
      </c>
      <c r="D288" s="4">
        <v>11</v>
      </c>
      <c r="E288" s="4">
        <v>92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 t="s">
        <v>93</v>
      </c>
      <c r="M288">
        <v>609949</v>
      </c>
      <c r="N288">
        <v>609949</v>
      </c>
      <c r="O288">
        <f t="shared" si="9"/>
        <v>594433.94488276995</v>
      </c>
      <c r="P288">
        <f t="shared" si="8"/>
        <v>15515.055117230047</v>
      </c>
    </row>
    <row r="289" spans="1:16">
      <c r="A289" s="4">
        <v>40928.69</v>
      </c>
      <c r="B289" s="4">
        <v>4094</v>
      </c>
      <c r="C289" s="4">
        <v>0.17399999999999999</v>
      </c>
      <c r="D289" s="4">
        <v>13</v>
      </c>
      <c r="E289" s="4">
        <v>82.4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1</v>
      </c>
      <c r="L289" t="s">
        <v>93</v>
      </c>
      <c r="M289">
        <v>548103.69999999995</v>
      </c>
      <c r="N289">
        <v>548103.69999999995</v>
      </c>
      <c r="O289">
        <f t="shared" si="9"/>
        <v>553421.42467852065</v>
      </c>
      <c r="P289">
        <f t="shared" si="8"/>
        <v>-5317.7246785206953</v>
      </c>
    </row>
    <row r="290" spans="1:16">
      <c r="A290" s="4">
        <v>70012.41</v>
      </c>
      <c r="B290" s="4">
        <v>8484</v>
      </c>
      <c r="C290" s="4">
        <v>0.27300000000000002</v>
      </c>
      <c r="D290" s="4">
        <v>23</v>
      </c>
      <c r="E290" s="4">
        <v>72.900000000000006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 t="s">
        <v>94</v>
      </c>
      <c r="M290">
        <v>729424.42</v>
      </c>
      <c r="N290">
        <v>729424.42</v>
      </c>
      <c r="O290">
        <f t="shared" si="9"/>
        <v>690568.99218649708</v>
      </c>
      <c r="P290">
        <f t="shared" si="8"/>
        <v>38855.42781350296</v>
      </c>
    </row>
    <row r="291" spans="1:16">
      <c r="A291" s="4">
        <v>68909.259999999995</v>
      </c>
      <c r="B291" s="4">
        <v>7794</v>
      </c>
      <c r="C291" s="4">
        <v>0.28399999999999997</v>
      </c>
      <c r="D291" s="4">
        <v>22</v>
      </c>
      <c r="E291" s="4">
        <v>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 t="s">
        <v>94</v>
      </c>
      <c r="M291">
        <v>696261.49</v>
      </c>
      <c r="N291">
        <v>696261.49</v>
      </c>
      <c r="O291">
        <f t="shared" si="9"/>
        <v>713700.69506557344</v>
      </c>
      <c r="P291">
        <f t="shared" si="8"/>
        <v>-17439.205065573449</v>
      </c>
    </row>
    <row r="292" spans="1:16">
      <c r="A292" s="4">
        <v>56737.3</v>
      </c>
      <c r="B292" s="4">
        <v>8300</v>
      </c>
      <c r="C292" s="4">
        <v>3.2000000000000001E-2</v>
      </c>
      <c r="D292" s="4">
        <v>21</v>
      </c>
      <c r="E292" s="4">
        <v>83.2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 t="s">
        <v>94</v>
      </c>
      <c r="M292">
        <v>813316.71</v>
      </c>
      <c r="N292">
        <v>813316.71</v>
      </c>
      <c r="O292">
        <f t="shared" si="9"/>
        <v>705925.63339578535</v>
      </c>
      <c r="P292">
        <f t="shared" si="8"/>
        <v>107391.07660421461</v>
      </c>
    </row>
    <row r="293" spans="1:16">
      <c r="A293" s="4">
        <v>54080.91</v>
      </c>
      <c r="B293" s="4">
        <v>7083</v>
      </c>
      <c r="C293" s="4">
        <v>0</v>
      </c>
      <c r="D293" s="4">
        <v>15</v>
      </c>
      <c r="E293" s="4">
        <v>97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 t="s">
        <v>94</v>
      </c>
      <c r="M293">
        <v>702068.92</v>
      </c>
      <c r="N293">
        <v>702068.92</v>
      </c>
      <c r="O293">
        <f t="shared" si="9"/>
        <v>693082.76748615003</v>
      </c>
      <c r="P293">
        <f t="shared" si="8"/>
        <v>8986.1525138500147</v>
      </c>
    </row>
    <row r="294" spans="1:16">
      <c r="A294" s="4">
        <v>51996.32</v>
      </c>
      <c r="B294" s="4">
        <v>3834</v>
      </c>
      <c r="C294" s="4">
        <v>9.6000000000000002E-2</v>
      </c>
      <c r="D294" s="4">
        <v>8</v>
      </c>
      <c r="E294" s="4">
        <v>86.7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 t="s">
        <v>95</v>
      </c>
      <c r="M294">
        <v>546223.69999999995</v>
      </c>
      <c r="N294">
        <v>546223.69999999995</v>
      </c>
      <c r="O294">
        <f t="shared" si="9"/>
        <v>578358.70146671135</v>
      </c>
      <c r="P294">
        <f t="shared" si="8"/>
        <v>-32135.001466711401</v>
      </c>
    </row>
    <row r="295" spans="1:16">
      <c r="A295" s="4">
        <v>40102.879999999997</v>
      </c>
      <c r="B295" s="4">
        <v>2358</v>
      </c>
      <c r="C295" s="4">
        <v>0.11899999999999999</v>
      </c>
      <c r="D295" s="4">
        <v>9</v>
      </c>
      <c r="E295" s="4">
        <v>88.7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 t="s">
        <v>95</v>
      </c>
      <c r="M295">
        <v>533121.26</v>
      </c>
      <c r="N295">
        <v>533121.26</v>
      </c>
      <c r="O295">
        <f t="shared" si="9"/>
        <v>529830.07642225025</v>
      </c>
      <c r="P295">
        <f t="shared" si="8"/>
        <v>3291.1835777497618</v>
      </c>
    </row>
    <row r="296" spans="1:16">
      <c r="A296" s="4">
        <v>59825.51</v>
      </c>
      <c r="B296" s="4">
        <v>1231</v>
      </c>
      <c r="C296" s="4">
        <v>0.214</v>
      </c>
      <c r="D296" s="4">
        <v>10</v>
      </c>
      <c r="E296" s="4">
        <v>84.8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 t="s">
        <v>95</v>
      </c>
      <c r="M296">
        <v>498970.32</v>
      </c>
      <c r="N296">
        <v>498970.32</v>
      </c>
      <c r="O296">
        <f t="shared" si="9"/>
        <v>507290.53349026095</v>
      </c>
      <c r="P296">
        <f t="shared" si="8"/>
        <v>-8320.2134902609396</v>
      </c>
    </row>
    <row r="297" spans="1:16">
      <c r="A297" s="4">
        <v>27398.28</v>
      </c>
      <c r="B297" s="4">
        <v>1723</v>
      </c>
      <c r="C297" s="4">
        <v>0.17100000000000001</v>
      </c>
      <c r="D297" s="4">
        <v>9</v>
      </c>
      <c r="E297" s="4">
        <v>81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 t="s">
        <v>95</v>
      </c>
      <c r="M297">
        <v>487738.26</v>
      </c>
      <c r="N297">
        <v>487738.26</v>
      </c>
      <c r="O297">
        <f t="shared" si="9"/>
        <v>471603.89478068938</v>
      </c>
      <c r="P297">
        <f t="shared" si="8"/>
        <v>16134.365219310625</v>
      </c>
    </row>
    <row r="298" spans="1:16">
      <c r="A298" s="4">
        <v>55599.56</v>
      </c>
      <c r="B298" s="4">
        <v>5896</v>
      </c>
      <c r="C298" s="4">
        <v>3.5999999999999997E-2</v>
      </c>
      <c r="D298" s="4">
        <v>12</v>
      </c>
      <c r="E298" s="4">
        <v>93.1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 t="s">
        <v>96</v>
      </c>
      <c r="M298">
        <v>668459.37</v>
      </c>
      <c r="N298">
        <v>668459.37</v>
      </c>
      <c r="O298">
        <f t="shared" si="9"/>
        <v>674896.57342597283</v>
      </c>
      <c r="P298">
        <f t="shared" si="8"/>
        <v>-6437.2034259728389</v>
      </c>
    </row>
    <row r="299" spans="1:16">
      <c r="A299" s="4">
        <v>55477.61</v>
      </c>
      <c r="B299" s="4">
        <v>5903</v>
      </c>
      <c r="C299" s="4">
        <v>0.10199999999999999</v>
      </c>
      <c r="D299" s="4">
        <v>14</v>
      </c>
      <c r="E299" s="4">
        <v>96.2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 t="s">
        <v>96</v>
      </c>
      <c r="M299">
        <v>763162.45</v>
      </c>
      <c r="N299">
        <v>763162.45</v>
      </c>
      <c r="O299">
        <f t="shared" si="9"/>
        <v>686717.34769769676</v>
      </c>
      <c r="P299">
        <f t="shared" si="8"/>
        <v>76445.102302303188</v>
      </c>
    </row>
    <row r="300" spans="1:16">
      <c r="A300" s="4">
        <v>46174.7</v>
      </c>
      <c r="B300" s="4">
        <v>4898</v>
      </c>
      <c r="C300" s="4">
        <v>0.114</v>
      </c>
      <c r="D300" s="4">
        <v>11</v>
      </c>
      <c r="E300" s="4">
        <v>91.7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 t="s">
        <v>96</v>
      </c>
      <c r="M300">
        <v>599017.32999999996</v>
      </c>
      <c r="N300">
        <v>599017.32999999996</v>
      </c>
      <c r="O300">
        <f t="shared" si="9"/>
        <v>624614.31858527055</v>
      </c>
      <c r="P300">
        <f t="shared" si="8"/>
        <v>-25596.988585270592</v>
      </c>
    </row>
    <row r="301" spans="1:16">
      <c r="A301" s="4">
        <v>24362.98</v>
      </c>
      <c r="B301" s="4">
        <v>1462</v>
      </c>
      <c r="C301" s="4">
        <v>0.11700000000000001</v>
      </c>
      <c r="D301" s="4">
        <v>6</v>
      </c>
      <c r="E301" s="4">
        <v>89.3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 t="s">
        <v>96</v>
      </c>
      <c r="M301">
        <v>401582.58</v>
      </c>
      <c r="N301">
        <v>401582.58</v>
      </c>
      <c r="O301">
        <f t="shared" si="9"/>
        <v>479097.78449379001</v>
      </c>
      <c r="P301">
        <f t="shared" si="8"/>
        <v>-77515.204493789992</v>
      </c>
    </row>
    <row r="302" spans="1:16">
      <c r="A302" s="4">
        <v>40647.67</v>
      </c>
      <c r="B302" s="4">
        <v>8252</v>
      </c>
      <c r="C302" s="4">
        <v>0.14099999999999999</v>
      </c>
      <c r="D302" s="4">
        <v>22</v>
      </c>
      <c r="E302" s="4">
        <v>88.2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0</v>
      </c>
      <c r="L302" t="s">
        <v>97</v>
      </c>
      <c r="M302">
        <v>703812.99</v>
      </c>
      <c r="N302">
        <v>703812.99</v>
      </c>
      <c r="O302">
        <f t="shared" si="9"/>
        <v>735326.86752645858</v>
      </c>
      <c r="P302">
        <f t="shared" si="8"/>
        <v>-31513.877526458586</v>
      </c>
    </row>
    <row r="303" spans="1:16">
      <c r="A303" s="4">
        <v>63986.98</v>
      </c>
      <c r="B303" s="4">
        <v>7989</v>
      </c>
      <c r="C303" s="4">
        <v>7.3999999999999996E-2</v>
      </c>
      <c r="D303" s="4">
        <v>20</v>
      </c>
      <c r="E303" s="4">
        <v>83.3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 t="s">
        <v>97</v>
      </c>
      <c r="M303">
        <v>724346.73</v>
      </c>
      <c r="N303">
        <v>724346.73</v>
      </c>
      <c r="O303">
        <f t="shared" si="9"/>
        <v>737910.92377281212</v>
      </c>
      <c r="P303">
        <f t="shared" si="8"/>
        <v>-13564.193772812141</v>
      </c>
    </row>
    <row r="304" spans="1:16">
      <c r="A304" s="4">
        <v>52843.75</v>
      </c>
      <c r="B304" s="4">
        <v>8268</v>
      </c>
      <c r="C304" s="4">
        <v>0.13800000000000001</v>
      </c>
      <c r="D304" s="4">
        <v>19</v>
      </c>
      <c r="E304" s="4">
        <v>87.3</v>
      </c>
      <c r="F304">
        <v>1</v>
      </c>
      <c r="G304">
        <v>0</v>
      </c>
      <c r="H304">
        <v>0</v>
      </c>
      <c r="I304">
        <v>0</v>
      </c>
      <c r="J304">
        <v>1</v>
      </c>
      <c r="K304">
        <v>0</v>
      </c>
      <c r="L304" t="s">
        <v>97</v>
      </c>
      <c r="M304">
        <v>730890.01</v>
      </c>
      <c r="N304">
        <v>730890.01</v>
      </c>
      <c r="O304">
        <f t="shared" si="9"/>
        <v>738904.36176454253</v>
      </c>
      <c r="P304">
        <f t="shared" si="8"/>
        <v>-8014.3517645425163</v>
      </c>
    </row>
    <row r="305" spans="1:16">
      <c r="A305" s="4">
        <v>31997.25</v>
      </c>
      <c r="B305" s="4">
        <v>8183</v>
      </c>
      <c r="C305" s="4">
        <v>0.19800000000000001</v>
      </c>
      <c r="D305" s="4">
        <v>18</v>
      </c>
      <c r="E305" s="4">
        <v>93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0</v>
      </c>
      <c r="L305" t="s">
        <v>97</v>
      </c>
      <c r="M305">
        <v>780580.95</v>
      </c>
      <c r="N305">
        <v>780580.95</v>
      </c>
      <c r="O305">
        <f t="shared" si="9"/>
        <v>723368.21538858546</v>
      </c>
      <c r="P305">
        <f t="shared" si="8"/>
        <v>57212.734611414489</v>
      </c>
    </row>
    <row r="306" spans="1:16">
      <c r="A306" s="4">
        <v>54948.02</v>
      </c>
      <c r="B306" s="4">
        <v>6534</v>
      </c>
      <c r="C306" s="4">
        <v>0.183</v>
      </c>
      <c r="D306" s="4">
        <v>14</v>
      </c>
      <c r="E306" s="4">
        <v>94.5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1</v>
      </c>
      <c r="L306" t="s">
        <v>98</v>
      </c>
      <c r="M306">
        <v>727957.48</v>
      </c>
      <c r="N306">
        <v>727957.48</v>
      </c>
      <c r="O306">
        <f t="shared" si="9"/>
        <v>678912.61481394782</v>
      </c>
      <c r="P306">
        <f t="shared" si="8"/>
        <v>49044.865186052164</v>
      </c>
    </row>
    <row r="307" spans="1:16">
      <c r="A307" s="4">
        <v>46146.239999999998</v>
      </c>
      <c r="B307" s="4">
        <v>5804</v>
      </c>
      <c r="C307" s="4">
        <v>4.7E-2</v>
      </c>
      <c r="D307" s="4">
        <v>16</v>
      </c>
      <c r="E307" s="4">
        <v>86.9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1</v>
      </c>
      <c r="L307" t="s">
        <v>98</v>
      </c>
      <c r="M307">
        <v>538376</v>
      </c>
      <c r="N307">
        <v>538376</v>
      </c>
      <c r="O307">
        <f t="shared" si="9"/>
        <v>637359.08948889549</v>
      </c>
      <c r="P307">
        <f t="shared" si="8"/>
        <v>-98983.089488895494</v>
      </c>
    </row>
    <row r="308" spans="1:16">
      <c r="A308" s="4">
        <v>22387.26</v>
      </c>
      <c r="B308" s="4">
        <v>6301</v>
      </c>
      <c r="C308" s="4">
        <v>0.14599999999999999</v>
      </c>
      <c r="D308" s="4">
        <v>14</v>
      </c>
      <c r="E308" s="4">
        <v>85.9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1</v>
      </c>
      <c r="L308" t="s">
        <v>98</v>
      </c>
      <c r="M308">
        <v>665342.49</v>
      </c>
      <c r="N308">
        <v>665342.49</v>
      </c>
      <c r="O308">
        <f t="shared" si="9"/>
        <v>610642.34462098742</v>
      </c>
      <c r="P308">
        <f t="shared" si="8"/>
        <v>54700.145379012567</v>
      </c>
    </row>
    <row r="309" spans="1:16">
      <c r="A309" s="4">
        <v>60684.05</v>
      </c>
      <c r="B309" s="4">
        <v>6399</v>
      </c>
      <c r="C309" s="4">
        <v>7.4999999999999997E-2</v>
      </c>
      <c r="D309" s="4">
        <v>16</v>
      </c>
      <c r="E309" s="4">
        <v>99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1</v>
      </c>
      <c r="L309" t="s">
        <v>98</v>
      </c>
      <c r="M309">
        <v>651164.18000000005</v>
      </c>
      <c r="N309">
        <v>651164.18000000005</v>
      </c>
      <c r="O309">
        <f t="shared" si="9"/>
        <v>705809.97563973186</v>
      </c>
      <c r="P309">
        <f t="shared" si="8"/>
        <v>-54645.795639731805</v>
      </c>
    </row>
    <row r="310" spans="1:16">
      <c r="A310" s="4">
        <v>48465.599999999999</v>
      </c>
      <c r="B310" s="4">
        <v>5759</v>
      </c>
      <c r="C310" s="4">
        <v>0.154</v>
      </c>
      <c r="D310" s="4">
        <v>13</v>
      </c>
      <c r="E310" s="4">
        <v>87.5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 t="s">
        <v>99</v>
      </c>
      <c r="M310">
        <v>628538.30000000005</v>
      </c>
      <c r="N310">
        <v>628538.30000000005</v>
      </c>
      <c r="O310">
        <f t="shared" si="9"/>
        <v>644340.10424067883</v>
      </c>
      <c r="P310">
        <f t="shared" si="8"/>
        <v>-15801.804240678786</v>
      </c>
    </row>
    <row r="311" spans="1:16">
      <c r="A311" s="4">
        <v>23702.38</v>
      </c>
      <c r="B311" s="4">
        <v>5285</v>
      </c>
      <c r="C311" s="4">
        <v>0.16700000000000001</v>
      </c>
      <c r="D311" s="4">
        <v>14</v>
      </c>
      <c r="E311" s="4">
        <v>79.7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 t="s">
        <v>99</v>
      </c>
      <c r="M311">
        <v>536524.84</v>
      </c>
      <c r="N311">
        <v>536524.84</v>
      </c>
      <c r="O311">
        <f t="shared" si="9"/>
        <v>581092.4682168212</v>
      </c>
      <c r="P311">
        <f t="shared" si="8"/>
        <v>-44567.628216821235</v>
      </c>
    </row>
    <row r="312" spans="1:16">
      <c r="A312" s="4">
        <v>54322.94</v>
      </c>
      <c r="B312" s="4">
        <v>5434</v>
      </c>
      <c r="C312" s="4">
        <v>0.2</v>
      </c>
      <c r="D312" s="4">
        <v>13</v>
      </c>
      <c r="E312" s="4">
        <v>85.7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 t="s">
        <v>99</v>
      </c>
      <c r="M312">
        <v>621677.30000000005</v>
      </c>
      <c r="N312">
        <v>621677.30000000005</v>
      </c>
      <c r="O312">
        <f t="shared" si="9"/>
        <v>634342.57381838211</v>
      </c>
      <c r="P312">
        <f t="shared" si="8"/>
        <v>-12665.273818382062</v>
      </c>
    </row>
    <row r="313" spans="1:16">
      <c r="A313" s="4">
        <v>86026.58</v>
      </c>
      <c r="B313" s="4">
        <v>7479</v>
      </c>
      <c r="C313" s="4">
        <v>0.14199999999999999</v>
      </c>
      <c r="D313" s="4">
        <v>20</v>
      </c>
      <c r="E313" s="4">
        <v>89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 t="s">
        <v>99</v>
      </c>
      <c r="M313">
        <v>771129.07</v>
      </c>
      <c r="N313">
        <v>771129.07</v>
      </c>
      <c r="O313">
        <f t="shared" si="9"/>
        <v>762405.08939725289</v>
      </c>
      <c r="P313">
        <f t="shared" si="8"/>
        <v>8723.9806027470622</v>
      </c>
    </row>
    <row r="314" spans="1:16">
      <c r="A314" s="4">
        <v>78967.520000000004</v>
      </c>
      <c r="B314" s="4">
        <v>6164</v>
      </c>
      <c r="C314" s="4">
        <v>2.1000000000000001E-2</v>
      </c>
      <c r="D314" s="4">
        <v>16</v>
      </c>
      <c r="E314" s="4">
        <v>85.5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1</v>
      </c>
      <c r="L314" t="s">
        <v>100</v>
      </c>
      <c r="M314">
        <v>702052.47</v>
      </c>
      <c r="N314">
        <v>702052.47</v>
      </c>
      <c r="O314">
        <f t="shared" si="9"/>
        <v>671244.51500730892</v>
      </c>
      <c r="P314">
        <f t="shared" si="8"/>
        <v>30807.954992691055</v>
      </c>
    </row>
    <row r="315" spans="1:16">
      <c r="A315" s="4">
        <v>46767.99</v>
      </c>
      <c r="B315" s="4">
        <v>7973</v>
      </c>
      <c r="C315" s="4">
        <v>0.183</v>
      </c>
      <c r="D315" s="4">
        <v>18</v>
      </c>
      <c r="E315" s="4">
        <v>94.8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1</v>
      </c>
      <c r="L315" t="s">
        <v>100</v>
      </c>
      <c r="M315">
        <v>688368.46</v>
      </c>
      <c r="N315">
        <v>688368.46</v>
      </c>
      <c r="O315">
        <f t="shared" si="9"/>
        <v>711254.07927089196</v>
      </c>
      <c r="P315">
        <f t="shared" si="8"/>
        <v>-22885.619270891999</v>
      </c>
    </row>
    <row r="316" spans="1:16">
      <c r="A316" s="4">
        <v>62507.16</v>
      </c>
      <c r="B316" s="4">
        <v>6000</v>
      </c>
      <c r="C316" s="4">
        <v>9.0999999999999998E-2</v>
      </c>
      <c r="D316" s="4">
        <v>14</v>
      </c>
      <c r="E316" s="4">
        <v>98.2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1</v>
      </c>
      <c r="L316" t="s">
        <v>100</v>
      </c>
      <c r="M316">
        <v>712375.77</v>
      </c>
      <c r="N316">
        <v>712375.77</v>
      </c>
      <c r="O316">
        <f t="shared" si="9"/>
        <v>675914.71582001774</v>
      </c>
      <c r="P316">
        <f t="shared" si="8"/>
        <v>36461.054179982282</v>
      </c>
    </row>
    <row r="317" spans="1:16">
      <c r="A317" s="4">
        <v>66456.28</v>
      </c>
      <c r="B317" s="4">
        <v>9967</v>
      </c>
      <c r="C317" s="4">
        <v>0.108</v>
      </c>
      <c r="D317" s="4">
        <v>20</v>
      </c>
      <c r="E317" s="4">
        <v>94.7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1</v>
      </c>
      <c r="L317" t="s">
        <v>100</v>
      </c>
      <c r="M317">
        <v>844710.67</v>
      </c>
      <c r="N317">
        <v>844710.67</v>
      </c>
      <c r="O317">
        <f t="shared" si="9"/>
        <v>800349.9452967135</v>
      </c>
      <c r="P317">
        <f t="shared" si="8"/>
        <v>44360.724703286542</v>
      </c>
    </row>
    <row r="318" spans="1:16">
      <c r="A318" s="4">
        <v>76614.320000000007</v>
      </c>
      <c r="B318" s="4">
        <v>5639</v>
      </c>
      <c r="C318" s="4">
        <v>0.17399999999999999</v>
      </c>
      <c r="D318" s="4">
        <v>15</v>
      </c>
      <c r="E318" s="4">
        <v>92.9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 t="s">
        <v>101</v>
      </c>
      <c r="M318">
        <v>620264.19999999995</v>
      </c>
      <c r="N318">
        <v>620264.19999999995</v>
      </c>
      <c r="O318">
        <f t="shared" si="9"/>
        <v>657551.15148232528</v>
      </c>
      <c r="P318">
        <f t="shared" si="8"/>
        <v>-37286.951482325327</v>
      </c>
    </row>
    <row r="319" spans="1:16">
      <c r="A319" s="4">
        <v>24088.06</v>
      </c>
      <c r="B319" s="4">
        <v>3466</v>
      </c>
      <c r="C319" s="4">
        <v>0</v>
      </c>
      <c r="D319" s="4">
        <v>11</v>
      </c>
      <c r="E319" s="4">
        <v>88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 t="s">
        <v>101</v>
      </c>
      <c r="M319">
        <v>536845.42000000004</v>
      </c>
      <c r="N319">
        <v>536845.42000000004</v>
      </c>
      <c r="O319">
        <f t="shared" si="9"/>
        <v>516332.15949649591</v>
      </c>
      <c r="P319">
        <f t="shared" si="8"/>
        <v>20513.260503504134</v>
      </c>
    </row>
    <row r="320" spans="1:16">
      <c r="A320" s="4">
        <v>81902.58</v>
      </c>
      <c r="B320" s="4">
        <v>7775</v>
      </c>
      <c r="C320" s="4">
        <v>0.215</v>
      </c>
      <c r="D320" s="4">
        <v>20</v>
      </c>
      <c r="E320" s="4">
        <v>85.2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 t="s">
        <v>101</v>
      </c>
      <c r="M320">
        <v>726776.22</v>
      </c>
      <c r="N320">
        <v>726776.22</v>
      </c>
      <c r="O320">
        <f t="shared" si="9"/>
        <v>714590.71879006084</v>
      </c>
      <c r="P320">
        <f t="shared" si="8"/>
        <v>12185.501209939132</v>
      </c>
    </row>
    <row r="321" spans="1:16">
      <c r="A321" s="4">
        <v>40553.11</v>
      </c>
      <c r="B321" s="4">
        <v>5317</v>
      </c>
      <c r="C321" s="4">
        <v>0.16500000000000001</v>
      </c>
      <c r="D321" s="4">
        <v>17</v>
      </c>
      <c r="E321" s="4">
        <v>84.3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 t="s">
        <v>101</v>
      </c>
      <c r="M321">
        <v>559660.84</v>
      </c>
      <c r="N321">
        <v>559660.84</v>
      </c>
      <c r="O321">
        <f t="shared" si="9"/>
        <v>587039.27746828576</v>
      </c>
      <c r="P321">
        <f t="shared" si="8"/>
        <v>-27378.437468285789</v>
      </c>
    </row>
  </sheetData>
  <sortState xmlns:xlrd2="http://schemas.microsoft.com/office/spreadsheetml/2017/richdata2" ref="P2:P321">
    <sortCondition descending="1" ref="P2:P3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Original Data</vt:lpstr>
      <vt:lpstr>Cleaned Data</vt:lpstr>
      <vt:lpstr>Dummy Variales</vt:lpstr>
      <vt:lpstr>Regression</vt:lpstr>
      <vt:lpstr>Simple Regression 1</vt:lpstr>
      <vt:lpstr>SImple Regression 2</vt:lpstr>
      <vt:lpstr>Multiple Regression</vt:lpstr>
      <vt:lpstr>Regression Data</vt:lpstr>
      <vt:lpstr>Prediction&amp; Residual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</dc:creator>
  <cp:lastModifiedBy>Hrishi</cp:lastModifiedBy>
  <dcterms:created xsi:type="dcterms:W3CDTF">2026-06-26T13:23:16Z</dcterms:created>
  <dcterms:modified xsi:type="dcterms:W3CDTF">2026-06-26T16:19:21Z</dcterms:modified>
</cp:coreProperties>
</file>